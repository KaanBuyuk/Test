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pivotTables/pivotTable1.xml" ContentType="application/vnd.openxmlformats-officedocument.spreadsheetml.pivotTab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omments2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omments3.xml" ContentType="application/vnd.openxmlformats-officedocument.spreadsheetml.comments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Ingenieur\Desktop\"/>
    </mc:Choice>
  </mc:AlternateContent>
  <xr:revisionPtr revIDLastSave="0" documentId="13_ncr:1_{936F9645-72CB-4725-90E4-3CCBA2B0A2BB}" xr6:coauthVersionLast="47" xr6:coauthVersionMax="47" xr10:uidLastSave="{00000000-0000-0000-0000-000000000000}"/>
  <bookViews>
    <workbookView xWindow="-120" yWindow="-120" windowWidth="29040" windowHeight="15840" firstSheet="15" activeTab="17" xr2:uid="{00000000-000D-0000-FFFF-FFFF00000000}"/>
  </bookViews>
  <sheets>
    <sheet name="__ANA SAYFA" sheetId="1" r:id="rId1"/>
    <sheet name="SEMBOLLER" sheetId="25" r:id="rId2"/>
    <sheet name="TARIH" sheetId="13" r:id="rId3"/>
    <sheet name="HARF" sheetId="14" r:id="rId4"/>
    <sheet name="YAZICI" sheetId="16" r:id="rId5"/>
    <sheet name="DUSEYARA_YATAYARA" sheetId="2" r:id="rId6"/>
    <sheet name="SAYI" sheetId="7" r:id="rId7"/>
    <sheet name="KISA_YOLLAR" sheetId="15" r:id="rId8"/>
    <sheet name="EGERSAY" sheetId="26" r:id="rId9"/>
    <sheet name="KOSULLU_BICIMLENDIRME" sheetId="17" r:id="rId10"/>
    <sheet name="EGER" sheetId="8" r:id="rId11"/>
    <sheet name="FILTRELEME" sheetId="18" r:id="rId12"/>
    <sheet name="SIRALAMA" sheetId="33" r:id="rId13"/>
    <sheet name="HIZLI_ERISIM" sheetId="27" r:id="rId14"/>
    <sheet name="GRAFIK_1" sheetId="19" r:id="rId15"/>
    <sheet name="GRAFIK_2" sheetId="20" r:id="rId16"/>
    <sheet name="GRAFIK_3" sheetId="21" r:id="rId17"/>
    <sheet name="YINELENENLERI_KALDIR" sheetId="24" r:id="rId18"/>
    <sheet name="SAYIYA_CEVIR" sheetId="23" r:id="rId19"/>
    <sheet name="OZET_TABLO" sheetId="34" r:id="rId20"/>
    <sheet name="BUL_DEGISTIR" sheetId="28" r:id="rId21"/>
    <sheet name="ISGUNU" sheetId="29" r:id="rId22"/>
    <sheet name="VERI_DOGRULAMA" sheetId="30" r:id="rId23"/>
    <sheet name="ETOPLA" sheetId="22" r:id="rId24"/>
    <sheet name="MAKRO_1" sheetId="31" r:id="rId25"/>
  </sheets>
  <definedNames>
    <definedName name="_xlnm._FilterDatabase" localSheetId="11" hidden="1">FILTRELEME!$B$1:$E$11</definedName>
    <definedName name="_xlnm._FilterDatabase" localSheetId="19" hidden="1">OZET_TABLO!$B$1:$G$21</definedName>
    <definedName name="_xlnm._FilterDatabase" localSheetId="17" hidden="1">YINELENENLERI_KALDIR!$G$3:$I$14</definedName>
    <definedName name="MUZ">BUL_DEGISTIR!$D$2</definedName>
  </definedNames>
  <calcPr calcId="181029"/>
  <pivotCaches>
    <pivotCache cacheId="0" r:id="rId2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26" l="1"/>
  <c r="L11" i="26"/>
  <c r="L9" i="26"/>
  <c r="L7" i="26"/>
  <c r="L5" i="26"/>
  <c r="L3" i="26"/>
  <c r="L1" i="26"/>
  <c r="S7" i="2"/>
  <c r="S6" i="2"/>
  <c r="M9" i="2"/>
  <c r="L9" i="2"/>
  <c r="K9" i="2"/>
  <c r="C11" i="28"/>
  <c r="E3" i="14"/>
  <c r="D4" i="14"/>
  <c r="D3" i="14"/>
  <c r="D5" i="14" s="1"/>
  <c r="D7" i="14" s="1"/>
  <c r="D2" i="14"/>
  <c r="E13" i="13"/>
  <c r="E12" i="13"/>
  <c r="E11" i="13"/>
  <c r="E10" i="13"/>
  <c r="C4" i="13"/>
  <c r="C2" i="13"/>
  <c r="C6" i="13" l="1"/>
  <c r="C5" i="13"/>
  <c r="I6" i="23"/>
  <c r="H6" i="23"/>
  <c r="G6" i="23"/>
  <c r="C8" i="13" l="1"/>
  <c r="C7" i="13"/>
  <c r="M8" i="22"/>
  <c r="L8" i="22"/>
  <c r="K8" i="22"/>
  <c r="N8" i="22" s="1"/>
  <c r="N6" i="22"/>
  <c r="N5" i="22"/>
  <c r="N4" i="22"/>
  <c r="N3" i="22"/>
  <c r="N2" i="22"/>
  <c r="N7" i="22" s="1"/>
  <c r="H22" i="22" l="1"/>
  <c r="F9" i="21" l="1"/>
  <c r="E9" i="21"/>
  <c r="D9" i="21"/>
  <c r="W3" i="29" l="1"/>
  <c r="Y3" i="29" s="1"/>
  <c r="W2" i="29"/>
  <c r="X2" i="29" s="1"/>
  <c r="J3" i="29"/>
  <c r="J4" i="29" l="1"/>
  <c r="X3" i="29"/>
  <c r="Y2" i="29"/>
  <c r="E2" i="8"/>
  <c r="J5" i="29" l="1"/>
  <c r="N3" i="29"/>
  <c r="N4" i="29" s="1"/>
  <c r="N5" i="29" s="1"/>
  <c r="N6" i="29" s="1"/>
  <c r="N7" i="29" s="1"/>
  <c r="N8" i="29" s="1"/>
  <c r="N9" i="29" s="1"/>
  <c r="H15" i="29"/>
  <c r="J6" i="29" l="1"/>
  <c r="E15" i="29"/>
  <c r="J7" i="29" l="1"/>
  <c r="M6" i="22"/>
  <c r="L6" i="22"/>
  <c r="K6" i="22"/>
  <c r="M5" i="22"/>
  <c r="L5" i="22"/>
  <c r="K5" i="22"/>
  <c r="M4" i="22"/>
  <c r="L4" i="22"/>
  <c r="K4" i="22"/>
  <c r="M3" i="22"/>
  <c r="L3" i="22"/>
  <c r="K3" i="22"/>
  <c r="M2" i="22"/>
  <c r="L2" i="22"/>
  <c r="K2" i="22"/>
  <c r="J8" i="29" l="1"/>
  <c r="J9" i="29" s="1"/>
  <c r="K7" i="33"/>
  <c r="K9" i="33" s="1"/>
  <c r="J7" i="33"/>
  <c r="J9" i="33" s="1"/>
  <c r="I7" i="33"/>
  <c r="I9" i="33" s="1"/>
  <c r="H9" i="33"/>
  <c r="H7" i="33"/>
  <c r="E5" i="8" l="1"/>
  <c r="E4" i="8"/>
  <c r="P7" i="29" l="1"/>
  <c r="Q20" i="29" s="1"/>
  <c r="P6" i="29"/>
  <c r="Q19" i="29" s="1"/>
  <c r="P5" i="29"/>
  <c r="Q18" i="29" s="1"/>
  <c r="P4" i="29"/>
  <c r="Q17" i="29" s="1"/>
  <c r="P3" i="29"/>
  <c r="Q16" i="29" s="1"/>
  <c r="P2" i="29" l="1"/>
  <c r="C20" i="29" l="1"/>
  <c r="Q15" i="29"/>
  <c r="H17" i="29"/>
  <c r="E17" i="29"/>
  <c r="H16" i="29"/>
  <c r="E16" i="29"/>
  <c r="H19" i="29"/>
  <c r="E19" i="29"/>
  <c r="H18" i="29"/>
  <c r="E18" i="29"/>
  <c r="E20" i="29"/>
  <c r="H20" i="29"/>
  <c r="F4" i="29"/>
  <c r="C3" i="29" l="1"/>
  <c r="C4" i="29" l="1"/>
  <c r="C5" i="29" l="1"/>
  <c r="C6" i="29" l="1"/>
  <c r="C7" i="29" l="1"/>
  <c r="C8" i="29" l="1"/>
  <c r="C9" i="29" l="1"/>
  <c r="C10" i="29" l="1"/>
  <c r="C11" i="29" l="1"/>
  <c r="D12" i="26" l="1"/>
  <c r="C6" i="23"/>
  <c r="D6" i="23"/>
  <c r="M1" i="26"/>
  <c r="M9" i="26"/>
  <c r="M13" i="26"/>
  <c r="M5" i="26"/>
  <c r="M3" i="26"/>
  <c r="M11" i="26"/>
  <c r="M7" i="26"/>
  <c r="E6" i="23" l="1"/>
  <c r="G22" i="22"/>
  <c r="J6" i="22"/>
  <c r="J5" i="22"/>
  <c r="J4" i="22"/>
  <c r="J3" i="22"/>
  <c r="J2" i="22"/>
  <c r="K7" i="22" l="1"/>
  <c r="L7" i="22"/>
  <c r="M7" i="22"/>
  <c r="J7" i="22" l="1"/>
  <c r="F6" i="21" l="1"/>
  <c r="E6" i="21"/>
  <c r="D6" i="21"/>
  <c r="F6" i="20"/>
  <c r="E6" i="20"/>
  <c r="D6" i="20"/>
  <c r="D12" i="20"/>
  <c r="D11" i="20"/>
  <c r="D10" i="20"/>
  <c r="D9" i="20"/>
  <c r="F6" i="19"/>
  <c r="E6" i="19"/>
  <c r="D6" i="19"/>
  <c r="E6" i="8" l="1"/>
  <c r="E3" i="8"/>
  <c r="D9" i="7"/>
  <c r="C9" i="7" s="1"/>
  <c r="D10" i="7"/>
  <c r="C10" i="7" s="1"/>
  <c r="D13" i="7"/>
  <c r="C13" i="7" s="1"/>
  <c r="D12" i="7"/>
  <c r="C12" i="7" s="1"/>
  <c r="D11" i="7"/>
  <c r="C11" i="7" s="1"/>
  <c r="I5" i="7"/>
  <c r="I4" i="7"/>
  <c r="I3" i="7"/>
  <c r="I2" i="7"/>
  <c r="D6" i="14" l="1"/>
  <c r="F6" i="2"/>
  <c r="M14" i="2" s="1"/>
  <c r="E6" i="2"/>
  <c r="L14" i="2" s="1"/>
  <c r="D6" i="2"/>
  <c r="K14" i="2" s="1"/>
  <c r="D57" i="16" l="1"/>
  <c r="Q56" i="16"/>
  <c r="R56" i="16" s="1"/>
  <c r="J56" i="16"/>
  <c r="L56" i="16" s="1"/>
  <c r="M56" i="16" s="1"/>
  <c r="N56" i="16" s="1"/>
  <c r="P56" i="16" s="1"/>
  <c r="E56" i="16"/>
  <c r="F56" i="16" s="1"/>
  <c r="H56" i="16" s="1"/>
  <c r="I56" i="16" s="1"/>
  <c r="Q55" i="16"/>
  <c r="R55" i="16" s="1"/>
  <c r="J55" i="16"/>
  <c r="L55" i="16" s="1"/>
  <c r="M55" i="16" s="1"/>
  <c r="N55" i="16" s="1"/>
  <c r="P55" i="16" s="1"/>
  <c r="E55" i="16"/>
  <c r="F55" i="16" s="1"/>
  <c r="H55" i="16" s="1"/>
  <c r="I55" i="16" s="1"/>
  <c r="Q54" i="16"/>
  <c r="R54" i="16" s="1"/>
  <c r="J54" i="16"/>
  <c r="L54" i="16" s="1"/>
  <c r="M54" i="16" s="1"/>
  <c r="N54" i="16" s="1"/>
  <c r="P54" i="16" s="1"/>
  <c r="E54" i="16"/>
  <c r="F54" i="16" s="1"/>
  <c r="H54" i="16" s="1"/>
  <c r="I54" i="16" s="1"/>
  <c r="Q53" i="16"/>
  <c r="R53" i="16" s="1"/>
  <c r="J53" i="16"/>
  <c r="L53" i="16" s="1"/>
  <c r="M53" i="16" s="1"/>
  <c r="N53" i="16" s="1"/>
  <c r="P53" i="16" s="1"/>
  <c r="E53" i="16"/>
  <c r="F53" i="16" s="1"/>
  <c r="H53" i="16" s="1"/>
  <c r="I53" i="16" s="1"/>
  <c r="Q52" i="16"/>
  <c r="R52" i="16" s="1"/>
  <c r="J52" i="16"/>
  <c r="L52" i="16" s="1"/>
  <c r="M52" i="16" s="1"/>
  <c r="N52" i="16" s="1"/>
  <c r="P52" i="16" s="1"/>
  <c r="E52" i="16"/>
  <c r="F52" i="16" s="1"/>
  <c r="H52" i="16" s="1"/>
  <c r="I52" i="16" s="1"/>
  <c r="Q51" i="16"/>
  <c r="R51" i="16" s="1"/>
  <c r="J51" i="16"/>
  <c r="L51" i="16" s="1"/>
  <c r="M51" i="16" s="1"/>
  <c r="N51" i="16" s="1"/>
  <c r="P51" i="16" s="1"/>
  <c r="E51" i="16"/>
  <c r="F51" i="16" s="1"/>
  <c r="H51" i="16" s="1"/>
  <c r="I51" i="16" s="1"/>
  <c r="Q50" i="16"/>
  <c r="R50" i="16" s="1"/>
  <c r="J50" i="16"/>
  <c r="L50" i="16" s="1"/>
  <c r="M50" i="16" s="1"/>
  <c r="N50" i="16" s="1"/>
  <c r="P50" i="16" s="1"/>
  <c r="E50" i="16"/>
  <c r="F50" i="16" s="1"/>
  <c r="H50" i="16" s="1"/>
  <c r="I50" i="16" s="1"/>
  <c r="Q49" i="16"/>
  <c r="R49" i="16" s="1"/>
  <c r="J49" i="16"/>
  <c r="L49" i="16" s="1"/>
  <c r="M49" i="16" s="1"/>
  <c r="N49" i="16" s="1"/>
  <c r="P49" i="16" s="1"/>
  <c r="E49" i="16"/>
  <c r="F49" i="16" s="1"/>
  <c r="H49" i="16" s="1"/>
  <c r="I49" i="16" s="1"/>
  <c r="Q48" i="16"/>
  <c r="R48" i="16" s="1"/>
  <c r="J48" i="16"/>
  <c r="L48" i="16" s="1"/>
  <c r="M48" i="16" s="1"/>
  <c r="N48" i="16" s="1"/>
  <c r="P48" i="16" s="1"/>
  <c r="E48" i="16"/>
  <c r="F48" i="16" s="1"/>
  <c r="H48" i="16" s="1"/>
  <c r="I48" i="16" s="1"/>
  <c r="Q47" i="16"/>
  <c r="R47" i="16" s="1"/>
  <c r="J47" i="16"/>
  <c r="L47" i="16" s="1"/>
  <c r="M47" i="16" s="1"/>
  <c r="N47" i="16" s="1"/>
  <c r="P47" i="16" s="1"/>
  <c r="E47" i="16"/>
  <c r="F47" i="16" s="1"/>
  <c r="H47" i="16" s="1"/>
  <c r="I47" i="16" s="1"/>
  <c r="Q46" i="16"/>
  <c r="R46" i="16" s="1"/>
  <c r="J46" i="16"/>
  <c r="L46" i="16" s="1"/>
  <c r="M46" i="16" s="1"/>
  <c r="N46" i="16" s="1"/>
  <c r="P46" i="16" s="1"/>
  <c r="E46" i="16"/>
  <c r="F46" i="16" s="1"/>
  <c r="H46" i="16" s="1"/>
  <c r="I46" i="16" s="1"/>
  <c r="Q45" i="16"/>
  <c r="R45" i="16" s="1"/>
  <c r="J45" i="16"/>
  <c r="L45" i="16" s="1"/>
  <c r="M45" i="16" s="1"/>
  <c r="N45" i="16" s="1"/>
  <c r="P45" i="16" s="1"/>
  <c r="E45" i="16"/>
  <c r="F45" i="16" s="1"/>
  <c r="H45" i="16" s="1"/>
  <c r="I45" i="16" s="1"/>
  <c r="Q44" i="16"/>
  <c r="R44" i="16" s="1"/>
  <c r="J44" i="16"/>
  <c r="L44" i="16" s="1"/>
  <c r="M44" i="16" s="1"/>
  <c r="N44" i="16" s="1"/>
  <c r="P44" i="16" s="1"/>
  <c r="E44" i="16"/>
  <c r="F44" i="16" s="1"/>
  <c r="H44" i="16" s="1"/>
  <c r="I44" i="16" s="1"/>
  <c r="Q43" i="16"/>
  <c r="R43" i="16" s="1"/>
  <c r="L43" i="16"/>
  <c r="M43" i="16" s="1"/>
  <c r="N43" i="16" s="1"/>
  <c r="P43" i="16" s="1"/>
  <c r="J43" i="16"/>
  <c r="E43" i="16"/>
  <c r="F43" i="16" s="1"/>
  <c r="H43" i="16" s="1"/>
  <c r="I43" i="16" s="1"/>
  <c r="Q42" i="16"/>
  <c r="R42" i="16" s="1"/>
  <c r="J42" i="16"/>
  <c r="L42" i="16" s="1"/>
  <c r="M42" i="16" s="1"/>
  <c r="N42" i="16" s="1"/>
  <c r="P42" i="16" s="1"/>
  <c r="E42" i="16"/>
  <c r="F42" i="16" s="1"/>
  <c r="H42" i="16" s="1"/>
  <c r="I42" i="16" s="1"/>
  <c r="Q41" i="16"/>
  <c r="R41" i="16" s="1"/>
  <c r="J41" i="16"/>
  <c r="L41" i="16" s="1"/>
  <c r="M41" i="16" s="1"/>
  <c r="N41" i="16" s="1"/>
  <c r="P41" i="16" s="1"/>
  <c r="E41" i="16"/>
  <c r="F41" i="16" s="1"/>
  <c r="H41" i="16" s="1"/>
  <c r="I41" i="16" s="1"/>
  <c r="Q40" i="16"/>
  <c r="R40" i="16" s="1"/>
  <c r="J40" i="16"/>
  <c r="L40" i="16" s="1"/>
  <c r="M40" i="16" s="1"/>
  <c r="N40" i="16" s="1"/>
  <c r="P40" i="16" s="1"/>
  <c r="E40" i="16"/>
  <c r="F40" i="16" s="1"/>
  <c r="H40" i="16" s="1"/>
  <c r="I40" i="16" s="1"/>
  <c r="Q39" i="16"/>
  <c r="R39" i="16" s="1"/>
  <c r="J39" i="16"/>
  <c r="L39" i="16" s="1"/>
  <c r="M39" i="16" s="1"/>
  <c r="N39" i="16" s="1"/>
  <c r="P39" i="16" s="1"/>
  <c r="E39" i="16"/>
  <c r="F39" i="16" s="1"/>
  <c r="H39" i="16" s="1"/>
  <c r="I39" i="16" s="1"/>
  <c r="Q38" i="16"/>
  <c r="R38" i="16" s="1"/>
  <c r="J38" i="16"/>
  <c r="L38" i="16" s="1"/>
  <c r="M38" i="16" s="1"/>
  <c r="N38" i="16" s="1"/>
  <c r="P38" i="16" s="1"/>
  <c r="E38" i="16"/>
  <c r="F38" i="16" s="1"/>
  <c r="H38" i="16" s="1"/>
  <c r="I38" i="16" s="1"/>
  <c r="Q37" i="16"/>
  <c r="R37" i="16" s="1"/>
  <c r="J37" i="16"/>
  <c r="L37" i="16" s="1"/>
  <c r="M37" i="16" s="1"/>
  <c r="N37" i="16" s="1"/>
  <c r="P37" i="16" s="1"/>
  <c r="E37" i="16"/>
  <c r="F37" i="16" s="1"/>
  <c r="H37" i="16" s="1"/>
  <c r="I37" i="16" s="1"/>
  <c r="Q36" i="16"/>
  <c r="R36" i="16" s="1"/>
  <c r="J36" i="16"/>
  <c r="L36" i="16" s="1"/>
  <c r="M36" i="16" s="1"/>
  <c r="N36" i="16" s="1"/>
  <c r="P36" i="16" s="1"/>
  <c r="E36" i="16"/>
  <c r="F36" i="16" s="1"/>
  <c r="H36" i="16" s="1"/>
  <c r="I36" i="16" s="1"/>
  <c r="Q35" i="16"/>
  <c r="R35" i="16" s="1"/>
  <c r="J35" i="16"/>
  <c r="L35" i="16" s="1"/>
  <c r="M35" i="16" s="1"/>
  <c r="N35" i="16" s="1"/>
  <c r="P35" i="16" s="1"/>
  <c r="E35" i="16"/>
  <c r="F35" i="16" s="1"/>
  <c r="H35" i="16" s="1"/>
  <c r="I35" i="16" s="1"/>
  <c r="Q34" i="16"/>
  <c r="R34" i="16" s="1"/>
  <c r="J34" i="16"/>
  <c r="L34" i="16" s="1"/>
  <c r="M34" i="16" s="1"/>
  <c r="N34" i="16" s="1"/>
  <c r="P34" i="16" s="1"/>
  <c r="E34" i="16"/>
  <c r="F34" i="16" s="1"/>
  <c r="H34" i="16" s="1"/>
  <c r="I34" i="16" s="1"/>
  <c r="Q33" i="16"/>
  <c r="R33" i="16" s="1"/>
  <c r="J33" i="16"/>
  <c r="L33" i="16" s="1"/>
  <c r="M33" i="16" s="1"/>
  <c r="N33" i="16" s="1"/>
  <c r="P33" i="16" s="1"/>
  <c r="E33" i="16"/>
  <c r="F33" i="16" s="1"/>
  <c r="H33" i="16" s="1"/>
  <c r="I33" i="16" s="1"/>
  <c r="Q32" i="16"/>
  <c r="R32" i="16" s="1"/>
  <c r="J32" i="16"/>
  <c r="L32" i="16" s="1"/>
  <c r="M32" i="16" s="1"/>
  <c r="N32" i="16" s="1"/>
  <c r="P32" i="16" s="1"/>
  <c r="E32" i="16"/>
  <c r="F32" i="16" s="1"/>
  <c r="H32" i="16" s="1"/>
  <c r="I32" i="16" s="1"/>
  <c r="Q31" i="16"/>
  <c r="R31" i="16" s="1"/>
  <c r="J31" i="16"/>
  <c r="L31" i="16" s="1"/>
  <c r="M31" i="16" s="1"/>
  <c r="N31" i="16" s="1"/>
  <c r="P31" i="16" s="1"/>
  <c r="E31" i="16"/>
  <c r="F31" i="16" s="1"/>
  <c r="H31" i="16" s="1"/>
  <c r="I31" i="16" s="1"/>
  <c r="Q30" i="16"/>
  <c r="R30" i="16" s="1"/>
  <c r="J30" i="16"/>
  <c r="L30" i="16" s="1"/>
  <c r="M30" i="16" s="1"/>
  <c r="N30" i="16" s="1"/>
  <c r="P30" i="16" s="1"/>
  <c r="E30" i="16"/>
  <c r="F30" i="16" s="1"/>
  <c r="H30" i="16" s="1"/>
  <c r="I30" i="16" s="1"/>
  <c r="Q29" i="16"/>
  <c r="R29" i="16" s="1"/>
  <c r="J29" i="16"/>
  <c r="L29" i="16" s="1"/>
  <c r="M29" i="16" s="1"/>
  <c r="N29" i="16" s="1"/>
  <c r="P29" i="16" s="1"/>
  <c r="E29" i="16"/>
  <c r="F29" i="16" s="1"/>
  <c r="H29" i="16" s="1"/>
  <c r="I29" i="16" s="1"/>
  <c r="Q28" i="16"/>
  <c r="R28" i="16" s="1"/>
  <c r="J28" i="16"/>
  <c r="L28" i="16" s="1"/>
  <c r="M28" i="16" s="1"/>
  <c r="N28" i="16" s="1"/>
  <c r="P28" i="16" s="1"/>
  <c r="E28" i="16"/>
  <c r="F28" i="16" s="1"/>
  <c r="H28" i="16" s="1"/>
  <c r="I28" i="16" s="1"/>
  <c r="Q27" i="16"/>
  <c r="R27" i="16" s="1"/>
  <c r="J27" i="16"/>
  <c r="L27" i="16" s="1"/>
  <c r="M27" i="16" s="1"/>
  <c r="N27" i="16" s="1"/>
  <c r="P27" i="16" s="1"/>
  <c r="E27" i="16"/>
  <c r="F27" i="16" s="1"/>
  <c r="H27" i="16" s="1"/>
  <c r="I27" i="16" s="1"/>
  <c r="Q26" i="16"/>
  <c r="R26" i="16" s="1"/>
  <c r="J26" i="16"/>
  <c r="L26" i="16" s="1"/>
  <c r="M26" i="16" s="1"/>
  <c r="N26" i="16" s="1"/>
  <c r="P26" i="16" s="1"/>
  <c r="E26" i="16"/>
  <c r="F26" i="16" s="1"/>
  <c r="H26" i="16" s="1"/>
  <c r="I26" i="16" s="1"/>
  <c r="Q25" i="16"/>
  <c r="R25" i="16" s="1"/>
  <c r="J25" i="16"/>
  <c r="L25" i="16" s="1"/>
  <c r="M25" i="16" s="1"/>
  <c r="N25" i="16" s="1"/>
  <c r="P25" i="16" s="1"/>
  <c r="E25" i="16"/>
  <c r="F25" i="16" s="1"/>
  <c r="H25" i="16" s="1"/>
  <c r="I25" i="16" s="1"/>
  <c r="Q24" i="16"/>
  <c r="R24" i="16" s="1"/>
  <c r="J24" i="16"/>
  <c r="L24" i="16" s="1"/>
  <c r="M24" i="16" s="1"/>
  <c r="N24" i="16" s="1"/>
  <c r="P24" i="16" s="1"/>
  <c r="E24" i="16"/>
  <c r="F24" i="16" s="1"/>
  <c r="H24" i="16" s="1"/>
  <c r="I24" i="16" s="1"/>
  <c r="Q23" i="16"/>
  <c r="R23" i="16" s="1"/>
  <c r="J23" i="16"/>
  <c r="L23" i="16" s="1"/>
  <c r="M23" i="16" s="1"/>
  <c r="N23" i="16" s="1"/>
  <c r="P23" i="16" s="1"/>
  <c r="E23" i="16"/>
  <c r="F23" i="16" s="1"/>
  <c r="H23" i="16" s="1"/>
  <c r="I23" i="16" s="1"/>
  <c r="Q22" i="16"/>
  <c r="R22" i="16" s="1"/>
  <c r="J22" i="16"/>
  <c r="L22" i="16" s="1"/>
  <c r="M22" i="16" s="1"/>
  <c r="N22" i="16" s="1"/>
  <c r="P22" i="16" s="1"/>
  <c r="E22" i="16"/>
  <c r="F22" i="16" s="1"/>
  <c r="H22" i="16" s="1"/>
  <c r="I22" i="16" s="1"/>
  <c r="Q21" i="16"/>
  <c r="R21" i="16" s="1"/>
  <c r="J21" i="16"/>
  <c r="L21" i="16" s="1"/>
  <c r="M21" i="16" s="1"/>
  <c r="N21" i="16" s="1"/>
  <c r="P21" i="16" s="1"/>
  <c r="E21" i="16"/>
  <c r="F21" i="16" s="1"/>
  <c r="H21" i="16" s="1"/>
  <c r="I21" i="16" s="1"/>
  <c r="Q20" i="16"/>
  <c r="R20" i="16" s="1"/>
  <c r="J20" i="16"/>
  <c r="L20" i="16" s="1"/>
  <c r="M20" i="16" s="1"/>
  <c r="N20" i="16" s="1"/>
  <c r="P20" i="16" s="1"/>
  <c r="E20" i="16"/>
  <c r="F20" i="16" s="1"/>
  <c r="H20" i="16" s="1"/>
  <c r="I20" i="16" s="1"/>
  <c r="Q19" i="16"/>
  <c r="R19" i="16" s="1"/>
  <c r="J19" i="16"/>
  <c r="L19" i="16" s="1"/>
  <c r="M19" i="16" s="1"/>
  <c r="N19" i="16" s="1"/>
  <c r="P19" i="16" s="1"/>
  <c r="E19" i="16"/>
  <c r="F19" i="16" s="1"/>
  <c r="H19" i="16" s="1"/>
  <c r="I19" i="16" s="1"/>
  <c r="Q18" i="16"/>
  <c r="R18" i="16" s="1"/>
  <c r="J18" i="16"/>
  <c r="L18" i="16" s="1"/>
  <c r="M18" i="16" s="1"/>
  <c r="N18" i="16" s="1"/>
  <c r="P18" i="16" s="1"/>
  <c r="E18" i="16"/>
  <c r="F18" i="16" s="1"/>
  <c r="H18" i="16" s="1"/>
  <c r="I18" i="16" s="1"/>
  <c r="Q17" i="16"/>
  <c r="R17" i="16" s="1"/>
  <c r="J17" i="16"/>
  <c r="L17" i="16" s="1"/>
  <c r="M17" i="16" s="1"/>
  <c r="N17" i="16" s="1"/>
  <c r="P17" i="16" s="1"/>
  <c r="E17" i="16"/>
  <c r="F17" i="16" s="1"/>
  <c r="H17" i="16" s="1"/>
  <c r="I17" i="16" s="1"/>
  <c r="Q16" i="16"/>
  <c r="R16" i="16" s="1"/>
  <c r="J16" i="16"/>
  <c r="L16" i="16" s="1"/>
  <c r="M16" i="16" s="1"/>
  <c r="N16" i="16" s="1"/>
  <c r="P16" i="16" s="1"/>
  <c r="E16" i="16"/>
  <c r="F16" i="16" s="1"/>
  <c r="H16" i="16" s="1"/>
  <c r="I16" i="16" s="1"/>
  <c r="Q15" i="16"/>
  <c r="R15" i="16" s="1"/>
  <c r="J15" i="16"/>
  <c r="L15" i="16" s="1"/>
  <c r="M15" i="16" s="1"/>
  <c r="N15" i="16" s="1"/>
  <c r="P15" i="16" s="1"/>
  <c r="E15" i="16"/>
  <c r="F15" i="16" s="1"/>
  <c r="H15" i="16" s="1"/>
  <c r="I15" i="16" s="1"/>
  <c r="Q14" i="16"/>
  <c r="R14" i="16" s="1"/>
  <c r="J14" i="16"/>
  <c r="L14" i="16" s="1"/>
  <c r="M14" i="16" s="1"/>
  <c r="N14" i="16" s="1"/>
  <c r="P14" i="16" s="1"/>
  <c r="E14" i="16"/>
  <c r="F14" i="16" s="1"/>
  <c r="H14" i="16" s="1"/>
  <c r="I14" i="16" s="1"/>
  <c r="Q13" i="16"/>
  <c r="R13" i="16" s="1"/>
  <c r="J13" i="16"/>
  <c r="L13" i="16" s="1"/>
  <c r="M13" i="16" s="1"/>
  <c r="N13" i="16" s="1"/>
  <c r="P13" i="16" s="1"/>
  <c r="E13" i="16"/>
  <c r="F13" i="16" s="1"/>
  <c r="H13" i="16" s="1"/>
  <c r="I13" i="16" s="1"/>
  <c r="Q12" i="16"/>
  <c r="R12" i="16" s="1"/>
  <c r="J12" i="16"/>
  <c r="L12" i="16" s="1"/>
  <c r="M12" i="16" s="1"/>
  <c r="N12" i="16" s="1"/>
  <c r="P12" i="16" s="1"/>
  <c r="E12" i="16"/>
  <c r="F12" i="16" s="1"/>
  <c r="H12" i="16" s="1"/>
  <c r="I12" i="16" s="1"/>
  <c r="Q11" i="16"/>
  <c r="R11" i="16" s="1"/>
  <c r="J11" i="16"/>
  <c r="L11" i="16" s="1"/>
  <c r="M11" i="16" s="1"/>
  <c r="N11" i="16" s="1"/>
  <c r="P11" i="16" s="1"/>
  <c r="E11" i="16"/>
  <c r="F11" i="16" s="1"/>
  <c r="H11" i="16" s="1"/>
  <c r="I11" i="16" s="1"/>
  <c r="Q10" i="16"/>
  <c r="R10" i="16" s="1"/>
  <c r="J10" i="16"/>
  <c r="L10" i="16" s="1"/>
  <c r="M10" i="16" s="1"/>
  <c r="N10" i="16" s="1"/>
  <c r="P10" i="16" s="1"/>
  <c r="E10" i="16"/>
  <c r="F10" i="16" s="1"/>
  <c r="H10" i="16" s="1"/>
  <c r="I10" i="16" s="1"/>
  <c r="Q9" i="16"/>
  <c r="R9" i="16" s="1"/>
  <c r="J9" i="16"/>
  <c r="L9" i="16" s="1"/>
  <c r="M9" i="16" s="1"/>
  <c r="N9" i="16" s="1"/>
  <c r="P9" i="16" s="1"/>
  <c r="E9" i="16"/>
  <c r="F9" i="16" s="1"/>
  <c r="H9" i="16" s="1"/>
  <c r="I9" i="16" s="1"/>
  <c r="Q8" i="16"/>
  <c r="R8" i="16" s="1"/>
  <c r="J8" i="16"/>
  <c r="L8" i="16" s="1"/>
  <c r="M8" i="16" s="1"/>
  <c r="N8" i="16" s="1"/>
  <c r="P8" i="16" s="1"/>
  <c r="E8" i="16"/>
  <c r="F8" i="16" s="1"/>
  <c r="H8" i="16" s="1"/>
  <c r="I8" i="16" s="1"/>
  <c r="Q7" i="16"/>
  <c r="R7" i="16" s="1"/>
  <c r="J7" i="16"/>
  <c r="L7" i="16" s="1"/>
  <c r="M7" i="16" s="1"/>
  <c r="N7" i="16" s="1"/>
  <c r="P7" i="16" s="1"/>
  <c r="E7" i="16"/>
  <c r="F7" i="16" s="1"/>
  <c r="H7" i="16" s="1"/>
  <c r="I7" i="16" s="1"/>
  <c r="Q6" i="16"/>
  <c r="R6" i="16" s="1"/>
  <c r="J6" i="16"/>
  <c r="L6" i="16" s="1"/>
  <c r="M6" i="16" s="1"/>
  <c r="N6" i="16" s="1"/>
  <c r="P6" i="16" s="1"/>
  <c r="E6" i="16"/>
  <c r="F6" i="16" s="1"/>
  <c r="H6" i="16" s="1"/>
  <c r="I6" i="16" s="1"/>
  <c r="Q5" i="16"/>
  <c r="R5" i="16" s="1"/>
  <c r="J5" i="16"/>
  <c r="L5" i="16" s="1"/>
  <c r="M5" i="16" s="1"/>
  <c r="N5" i="16" s="1"/>
  <c r="P5" i="16" s="1"/>
  <c r="E5" i="16"/>
  <c r="F5" i="16" s="1"/>
  <c r="H5" i="16" s="1"/>
  <c r="I5" i="16" s="1"/>
  <c r="Q4" i="16"/>
  <c r="R4" i="16" s="1"/>
  <c r="J4" i="16"/>
  <c r="L4" i="16" s="1"/>
  <c r="M4" i="16" s="1"/>
  <c r="N4" i="16" s="1"/>
  <c r="P4" i="16" s="1"/>
  <c r="E4" i="16"/>
  <c r="F4" i="16" s="1"/>
  <c r="H4" i="16" s="1"/>
  <c r="I4" i="16" s="1"/>
  <c r="Q3" i="16"/>
  <c r="R3" i="16" s="1"/>
  <c r="J3" i="16"/>
  <c r="L3" i="16" s="1"/>
  <c r="M3" i="16" s="1"/>
  <c r="N3" i="16" s="1"/>
  <c r="P3" i="16" s="1"/>
  <c r="E3" i="16"/>
  <c r="F3" i="16" s="1"/>
  <c r="H3" i="16" s="1"/>
  <c r="I3" i="16" s="1"/>
  <c r="Q2" i="16"/>
  <c r="R2" i="16" s="1"/>
  <c r="J2" i="16"/>
  <c r="E2" i="16"/>
  <c r="J57" i="16" l="1"/>
  <c r="R57" i="16"/>
  <c r="E57" i="16"/>
  <c r="F2" i="16"/>
  <c r="L2" i="16"/>
  <c r="Q57" i="16"/>
  <c r="L57" i="16" l="1"/>
  <c r="M2" i="16"/>
  <c r="F57" i="16"/>
  <c r="H2" i="16"/>
  <c r="I2" i="16" l="1"/>
  <c r="I57" i="16" s="1"/>
  <c r="H57" i="16"/>
  <c r="N2" i="16"/>
  <c r="M57" i="16"/>
  <c r="N57" i="16" l="1"/>
  <c r="P2" i="16"/>
  <c r="P57" i="1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162"/>
          </rPr>
          <t>EXCEL EĞİTİMİ</t>
        </r>
        <r>
          <rPr>
            <sz val="9"/>
            <color indexed="81"/>
            <rFont val="Tahoma"/>
            <family val="2"/>
            <charset val="16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5" authorId="0" shapeId="0" xr:uid="{00000000-0006-0000-1400-000001000000}">
      <text>
        <r>
          <rPr>
            <b/>
            <sz val="9"/>
            <color indexed="81"/>
            <rFont val="Tahoma"/>
            <family val="2"/>
            <charset val="162"/>
          </rPr>
          <t>Tropik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13" authorId="0" shapeId="0" xr:uid="{00000000-0006-0000-1700-000001000000}">
      <text>
        <r>
          <rPr>
            <b/>
            <sz val="9"/>
            <color indexed="81"/>
            <rFont val="Tahoma"/>
            <family val="2"/>
            <charset val="162"/>
          </rPr>
          <t>K2 hücresine yazılacak formülün unsurları: 
4 Koşullu</t>
        </r>
      </text>
    </comment>
  </commentList>
</comments>
</file>

<file path=xl/sharedStrings.xml><?xml version="1.0" encoding="utf-8"?>
<sst xmlns="http://schemas.openxmlformats.org/spreadsheetml/2006/main" count="1428" uniqueCount="806">
  <si>
    <t>№</t>
  </si>
  <si>
    <t>TOPLAM</t>
  </si>
  <si>
    <t>İlk harfleri büyük</t>
  </si>
  <si>
    <t>ÜRÜNLER</t>
  </si>
  <si>
    <t>OCAK</t>
  </si>
  <si>
    <t>ŞUBAT</t>
  </si>
  <si>
    <t>MART</t>
  </si>
  <si>
    <t>Ürün A</t>
  </si>
  <si>
    <t>Ürün B</t>
  </si>
  <si>
    <t>Ürün C</t>
  </si>
  <si>
    <t>Ürün D</t>
  </si>
  <si>
    <t>Ürün E</t>
  </si>
  <si>
    <t>Ürün F</t>
  </si>
  <si>
    <t>Ürün G</t>
  </si>
  <si>
    <t>Ürün H</t>
  </si>
  <si>
    <t>Ürün I</t>
  </si>
  <si>
    <t>Ürün J</t>
  </si>
  <si>
    <t>Ürün K</t>
  </si>
  <si>
    <t>Ürün L</t>
  </si>
  <si>
    <t>Ürün M</t>
  </si>
  <si>
    <t>Ürün N</t>
  </si>
  <si>
    <t>Ürün O</t>
  </si>
  <si>
    <t>Ürün P</t>
  </si>
  <si>
    <t>Ürün R</t>
  </si>
  <si>
    <t>Ürün S</t>
  </si>
  <si>
    <t>Ürün T</t>
  </si>
  <si>
    <t>Ürün U</t>
  </si>
  <si>
    <t>Ürün V</t>
  </si>
  <si>
    <t>Ürün Y</t>
  </si>
  <si>
    <t>Ürün Z</t>
  </si>
  <si>
    <t>Ürün AA</t>
  </si>
  <si>
    <t>Ürün AB</t>
  </si>
  <si>
    <t>Ürün AC</t>
  </si>
  <si>
    <t>Ürün AD</t>
  </si>
  <si>
    <t>Ürün AE</t>
  </si>
  <si>
    <t>Ürün AF</t>
  </si>
  <si>
    <t>Ürün AG</t>
  </si>
  <si>
    <t>Ürün AH</t>
  </si>
  <si>
    <t>Ürün AI</t>
  </si>
  <si>
    <t>Ürün AJ</t>
  </si>
  <si>
    <t>Ürün AK</t>
  </si>
  <si>
    <t>Ürün AL</t>
  </si>
  <si>
    <t>Ürün AM</t>
  </si>
  <si>
    <t>Ürün AN</t>
  </si>
  <si>
    <t>Ürün AO</t>
  </si>
  <si>
    <t>Ürün AP</t>
  </si>
  <si>
    <t>Ürün AR</t>
  </si>
  <si>
    <t>Ürün AS</t>
  </si>
  <si>
    <t>Ürün AT</t>
  </si>
  <si>
    <t>Ürün AU</t>
  </si>
  <si>
    <t>Ürün AV</t>
  </si>
  <si>
    <t>Ürün AY</t>
  </si>
  <si>
    <t>Ürün AZ</t>
  </si>
  <si>
    <t>Ürün BA</t>
  </si>
  <si>
    <t>Ürün BB</t>
  </si>
  <si>
    <t>Ürün BC</t>
  </si>
  <si>
    <t>Ürün BD</t>
  </si>
  <si>
    <t>Ürün BE</t>
  </si>
  <si>
    <t>Ürün BF</t>
  </si>
  <si>
    <t>Ürün BG</t>
  </si>
  <si>
    <t>Ürün BH</t>
  </si>
  <si>
    <t>Ürün BI</t>
  </si>
  <si>
    <t>FİLTRELEME</t>
  </si>
  <si>
    <t>Hedef</t>
  </si>
  <si>
    <t>Toplam</t>
  </si>
  <si>
    <t>Bugünün tarihi</t>
  </si>
  <si>
    <t>Şu an saat kaç</t>
  </si>
  <si>
    <t>Hangi aydayız</t>
  </si>
  <si>
    <t>Hangi yıldayız</t>
  </si>
  <si>
    <t>Bugün ayın kaçıncı günü</t>
  </si>
  <si>
    <t>KISA YOLLAR</t>
  </si>
  <si>
    <t>Ctrl A</t>
  </si>
  <si>
    <t>Ctrl
Page Up</t>
  </si>
  <si>
    <t>Soldaki sayfaya gider</t>
  </si>
  <si>
    <t>Ctrl 1</t>
  </si>
  <si>
    <t>Hücre Biçimlendirme menüsünü açar</t>
  </si>
  <si>
    <t>Ctrl H</t>
  </si>
  <si>
    <t>Verileri başka verilerle değiştirme işlevini açar</t>
  </si>
  <si>
    <t>Sağdaki sayfaya gider</t>
  </si>
  <si>
    <t>Ctrl M</t>
  </si>
  <si>
    <t>=TOPLA() formülünü açar</t>
  </si>
  <si>
    <t>Ctrl TAB</t>
  </si>
  <si>
    <t>WIN D</t>
  </si>
  <si>
    <t>Masa üstünü ekrana getirir (WinM)</t>
  </si>
  <si>
    <t>Ctrl P</t>
  </si>
  <si>
    <t>Yazdırma ekranını açar</t>
  </si>
  <si>
    <t>Seçili Satırı, Sütunu siler</t>
  </si>
  <si>
    <t>WIN L</t>
  </si>
  <si>
    <t>Ctrl S</t>
  </si>
  <si>
    <r>
      <t xml:space="preserve">Dosyayı kaydeder  </t>
    </r>
    <r>
      <rPr>
        <b/>
        <i/>
        <sz val="14"/>
        <color theme="1" tint="4.9989318521683403E-2"/>
        <rFont val="Verdana"/>
        <family val="2"/>
        <charset val="162"/>
      </rPr>
      <t>(Alt 1)</t>
    </r>
  </si>
  <si>
    <t>Seçili Satırın, sütunun yanına yeni boş satır/sütun ekler</t>
  </si>
  <si>
    <t>Ctrl Y</t>
  </si>
  <si>
    <t>ALT 
aşağı ok</t>
  </si>
  <si>
    <t>Yukarısında olan verileri listeler, seçileni hücreye ENTER ile kopyalar</t>
  </si>
  <si>
    <t>Ctrl Z</t>
  </si>
  <si>
    <t>Geri al tuşunun işlevini yerine getirir</t>
  </si>
  <si>
    <t>ANA SAYFA</t>
  </si>
  <si>
    <t>ŞİMDİ</t>
  </si>
  <si>
    <t>BUGÜN</t>
  </si>
  <si>
    <t>GÜN</t>
  </si>
  <si>
    <t>AY</t>
  </si>
  <si>
    <t>YIL</t>
  </si>
  <si>
    <t>TARİH</t>
  </si>
  <si>
    <t>YAZIM.DÜZENİ</t>
  </si>
  <si>
    <t>BİRLEŞTİR</t>
  </si>
  <si>
    <t>BÜYÜKHARF</t>
  </si>
  <si>
    <t>adı ve SOYADI birleşik</t>
  </si>
  <si>
    <t>üstteki satırlardan</t>
  </si>
  <si>
    <t>SOYADI büyük harfle</t>
  </si>
  <si>
    <t>mail adresi oluşturalım</t>
  </si>
  <si>
    <t>KÜÇÜKHARF &amp;</t>
  </si>
  <si>
    <t>formül</t>
  </si>
  <si>
    <t>Referans Veri</t>
  </si>
  <si>
    <t>İpucu</t>
  </si>
  <si>
    <t>CTRL+C (Kopyala)</t>
  </si>
  <si>
    <t xml:space="preserve"> </t>
  </si>
  <si>
    <t>Microsoft Doğal Klavye Kısayolları</t>
  </si>
  <si>
    <t>MMC Konsol Penceresi Klavye Kısayolları</t>
  </si>
  <si>
    <t>CTRL+X (Kes)</t>
  </si>
  <si>
    <t>Windows Logosu (Başlat menüsünü göster veya gizle)</t>
  </si>
  <si>
    <t>CTRL+P (Geçerli sayfayı veya etkin bölmeyi yazdır)</t>
  </si>
  <si>
    <t>CTRL+V (Yapıştır)</t>
  </si>
  <si>
    <t>Windows Logosu+BREAK (Sistem Özellikleri iletişim kutusunu görüntüle)</t>
  </si>
  <si>
    <t>ALT+Eksi işareti (-) (Etkin konsol penceresi için pencere menüsünü görüntüle)</t>
  </si>
  <si>
    <t>CTRL+Z (Geri Al)</t>
  </si>
  <si>
    <t>Windows Logosu+D (Masaüstünü göster)</t>
  </si>
  <si>
    <t>ÜSTKRKT+F10 (Seçili öğe için Eylem kısayol menüsünü görüntüle)</t>
  </si>
  <si>
    <t>DELETE (Sil)</t>
  </si>
  <si>
    <t>Windows Logosu+M (Tüm pencereleri küçült)</t>
  </si>
  <si>
    <t>F1 tuşu (Seçili öğe için varsa Yardım başlığını aç)</t>
  </si>
  <si>
    <t>ÜSTKRKT+DELETE (Seçili öğeyi Geri Dönüşüm Kutusu'na atmadan kalıcı olarak sil)</t>
  </si>
  <si>
    <t>Windows Logosu+ÜSTKRKT+M (Küçültülmüş pencereleri geri yükle)</t>
  </si>
  <si>
    <t>F5 tuşu (Tüm konsol pencerelerinin içeriğini güncelleştir)</t>
  </si>
  <si>
    <t>Bir öğeyi sürüklerken CTRL (Seçili öğeyi kopyala)</t>
  </si>
  <si>
    <t>Windows Logosu+E (Bilgisayarım'ı aç)</t>
  </si>
  <si>
    <t>CTRL+F10 (Etkin konsol penceresini büyüt)</t>
  </si>
  <si>
    <t>Bir öğeyi sürüklerken CTRL+ÜSTKRKT (Seçili öğeye kısayol oluştur)</t>
  </si>
  <si>
    <t>Windows Logosu+F (Bir dosya veya klasör ara)</t>
  </si>
  <si>
    <t>CTRL+F5 (Etkin konsol penceresini geri yükle)</t>
  </si>
  <si>
    <t>F2 tuşu (Seçili öğeyi yeniden adlandır)</t>
  </si>
  <si>
    <t>CTRL+Windows Logo+F (Bilgisayar ara)</t>
  </si>
  <si>
    <t>ALT+ENTER (Seçili öğe için varsa Özellikler iletişim kutusunu aç)</t>
  </si>
  <si>
    <t>CTRL+SAĞ OK (Ekleme noktasını sonraki sözcüğün başına ***ür)</t>
  </si>
  <si>
    <t>Windows Logosu+F1 (Windows Yardımı'nı görüntüle)</t>
  </si>
  <si>
    <t>CTRL+SOL OK (Ekleme noktasını önceki sözcüğün başına ***ür )</t>
  </si>
  <si>
    <t>Windows Logosu+ L (Klavyeyi kilitle)</t>
  </si>
  <si>
    <t>CTRL+F4 (Etkin konsolu kapat. Bir konsolun tek bir konsol penceresi varsa, bu kısayol</t>
  </si>
  <si>
    <t>CTRL+AŞAĞI OK (Ekleme noktasını sonraki paragrafın başına ***ür)</t>
  </si>
  <si>
    <t>Windows Logosu+R (Çalıştır iletişim kutusunu aç)</t>
  </si>
  <si>
    <t>konsolu kapatır)</t>
  </si>
  <si>
    <t>CTRL+YUKARI OK (Ekleme noktasını önceki paragrafın başına ***ür )</t>
  </si>
  <si>
    <t>Windows Logosu+U (Hizmet Programı Yöneticisi'ni aç)</t>
  </si>
  <si>
    <t>Ok tuşlarının herhangi biriyle birlikte CTRL+ÜSTKRKT (Bir metin bloğu vurgula)</t>
  </si>
  <si>
    <t>Uzak Masaüstü Bağlantısı Gezintisi</t>
  </si>
  <si>
    <t>Ok tuşlarının herhangi biriyle birlikte ÜSTKRKT (Pencere veya masaüstünde birden fazla öğe</t>
  </si>
  <si>
    <t>Windows Gezgini Klavye Kısayolları</t>
  </si>
  <si>
    <t>CTRL+ALT+END (Microsoft Windows NT Güvenlik iletişim kutusunu aç)</t>
  </si>
  <si>
    <t>seç veya bir belgede metin seç)</t>
  </si>
  <si>
    <t>END (Etkin pencerenin sonunu göster)</t>
  </si>
  <si>
    <t>ALT+PAGE UP (Programlar arası soldan sağa geçiş yap)</t>
  </si>
  <si>
    <t>CTRL+A (Tümünü seç)</t>
  </si>
  <si>
    <t>HOME (Etkin pencerenin başını göster)</t>
  </si>
  <si>
    <t>ALT+PAGE DOWN (Programlar arası sağdan sola geçiş yap)</t>
  </si>
  <si>
    <t>F3 tuşu (Bir dosya ya da klasör ara)</t>
  </si>
  <si>
    <t>NUM LOCK+Yıldız İşareti (*) (Seçili klasörün altındaki tüm alt klasörleri göster)</t>
  </si>
  <si>
    <t>ALT+INSERT (Programlar arasında en sık kullanılma sırasına göre dön)</t>
  </si>
  <si>
    <t>ALT+ENTER (Seçili öğenin özelliklerini görüntüle)</t>
  </si>
  <si>
    <t>NUM LOCK+Artı işareti (+) (Seçili klasörün içeriğini göster)</t>
  </si>
  <si>
    <t>ALT+HOME (Başlat menüsünü görüntüle)</t>
  </si>
  <si>
    <t>ALT+F4 (Etkin öğeyi kapat veya etkin programdan çık)</t>
  </si>
  <si>
    <t>NUM LOCK+Eksi işareti (-) (Seçili klasörü daralt)</t>
  </si>
  <si>
    <t>CTRL+ALT+BREAK (İstemci bilgisayarını bir pencere ve tam ekran arasında geçiş yap)</t>
  </si>
  <si>
    <t>ALT+ENTER (Seçili nesnenin özelliklerini görüntüle)</t>
  </si>
  <si>
    <t>SOL OK (Geçerli seçim genişletilmişse daralt veya üst klasörü seç)</t>
  </si>
  <si>
    <t>ALT+DELETE (Windows menüsünü görüntüle)</t>
  </si>
  <si>
    <t>ALT+ARA ÇUBUĞU (Etkin pencere için kısayol menüsünü aç)</t>
  </si>
  <si>
    <t>SAĞ OK (Geçerli seçimi daraltılmışsa görüntüle veya ilk alt klasörü seç)</t>
  </si>
  <si>
    <t>CTRL+ALT+Eksi işareti (-) (Etkin pencerenin anlık görüntüsünü Terminal Server panosunda</t>
  </si>
  <si>
    <t>CTRL+F4 (Aynı anda birden çok belge açmayı sağlayan programlardaki etkin belgeyi kapat)</t>
  </si>
  <si>
    <t>ALT+SEKME (Açık öğeler arasında geçiş yap)</t>
  </si>
  <si>
    <t>Karakter Eşlem İçin Klavye Kısayolları</t>
  </si>
  <si>
    <t>ALT+ESC (Öğeler arasında açılma sıralarına göre dön)</t>
  </si>
  <si>
    <t>Karakter kılavuzunda bir karakteri çift tıklatırsanız, kılavuz üzerinde klavye</t>
  </si>
  <si>
    <t>CTRL+ALT+Artı işareti (+) (Etkin istemci penceresinin tamamının anlık görüntüsünü Terminal</t>
  </si>
  <si>
    <t>F6 tuşu (Bir penceredeki veya masaüstündeki ekran öğeleri arasında dolaş)</t>
  </si>
  <si>
    <t>kısayollarını kullanarak hareket edebilirsiniz:</t>
  </si>
  <si>
    <t>Server panosuna yerleştir ve aynı işlevselliği yerel bilgisayarda ALT+PRINT SCREEN'e</t>
  </si>
  <si>
    <t>F4 tuşu (Bilgisayarım veya Windows Gezgini'ndeki Adres çubuğu listesini görüntüle)</t>
  </si>
  <si>
    <t>SAĞ OK (Sağa veya sonraki satırın başına git)</t>
  </si>
  <si>
    <t>basarak sağlayın.)</t>
  </si>
  <si>
    <t>ÜSTKRKT+F10 (Seçili öğe için kısayol menüsünü görüntüle)</t>
  </si>
  <si>
    <t>SOL OK (Sola veya önceki satırın başına git)</t>
  </si>
  <si>
    <t>ALT+ARA ÇUBUĞU (Etkin pencere için Sistem menüsünü görüntüle)</t>
  </si>
  <si>
    <t>YUKARI OK (Bir satır yukarı git)</t>
  </si>
  <si>
    <t>Microsoft Internet Explorer Gezintisi</t>
  </si>
  <si>
    <t>CTRL+ESC (Başlat menüsünü görüntüle)</t>
  </si>
  <si>
    <t>AŞAĞI OK (Bir satır aşağı git)</t>
  </si>
  <si>
    <t>CTRL+B (Sık Kullanılanları Düzenle iletişim kutusunu aç)</t>
  </si>
  <si>
    <t>ALT+Bir menü adındaki altı çizili harf (Karşılık gelen menüyü görüntüle)</t>
  </si>
  <si>
    <t>PAGE UP (Bir defada bir ekran yukarı git)</t>
  </si>
  <si>
    <t>CTRL+E (Arama çubuğunu aç)</t>
  </si>
  <si>
    <t>Açık bir menüdeki bir komut adındaki altı çizili harf (Karşılık gelen komutu gerçekleştirir)</t>
  </si>
  <si>
    <t>PAGE DOWN (Bir defada bir ekran aşağı git)</t>
  </si>
  <si>
    <t>CTRL+F (Bul yardımcı programını başlat)</t>
  </si>
  <si>
    <t>HOME (Satırın başına git)</t>
  </si>
  <si>
    <t>CTRL+H (Geçmiş çubuğunu aç)</t>
  </si>
  <si>
    <t>F10 tuşu (Etkin programda menü çubuğunu etkinleştirir)</t>
  </si>
  <si>
    <t>END (Satırın sonuna git)</t>
  </si>
  <si>
    <t>CTRL+I (sık kullanılanlar çubuğunu aç)</t>
  </si>
  <si>
    <t>SAĞ OK (Sağdaki sonraki menüyü aç veya bir alt menü aç)</t>
  </si>
  <si>
    <t>CTRL+HOME (İlk karaktere git)</t>
  </si>
  <si>
    <t>CTRL+L (Aç iletişim kutusunu aç)</t>
  </si>
  <si>
    <t>SOL OK (Soldaki sonraki menüyü aç veya bir alt menüyü kapat)</t>
  </si>
  <si>
    <t>CTRL+END (Son karaktere git)</t>
  </si>
  <si>
    <t>CTRL+N (Aynı Web adresiyle tarayıcının başka bir örneğini aç)</t>
  </si>
  <si>
    <t>F5 tuşu (Etkin pencereyi günceleştir)</t>
  </si>
  <si>
    <t>ARA ÇUBUĞU (Bir karakter seçildiğinde Büyütülmüş ve Normal modlar arasında geçiş yap)</t>
  </si>
  <si>
    <t>CTRL+O (Aç iletişim kutusunu aç, CTRL+L ile aynı)</t>
  </si>
  <si>
    <t>GERİ AL (Bilgisayarım ya da Windows Gezgini'nde bir seviye üstteki klasörü görüntüle)</t>
  </si>
  <si>
    <t>CTRL+P (Yazdır iletişim kutusunu aç)</t>
  </si>
  <si>
    <t>ESC (Geçerli görevi iptal et)</t>
  </si>
  <si>
    <t>Microsoft Yönetim Konsolu (MMC) Ana Pencere Klavye Kısayolları</t>
  </si>
  <si>
    <t>CTRL+R (Geçerli Web sayfasını güncelleştir)</t>
  </si>
  <si>
    <t>CD-ROM sürücüye bir CD-ROM taktığınızda ÜSTKRKT (CD-ROM'un otomatik olarak oynatılmasını</t>
  </si>
  <si>
    <t>CTRL+O (Kaydedilmiş bir konsolu aç)</t>
  </si>
  <si>
    <t>CTRL+W (Geçerli pencereyi kapat)</t>
  </si>
  <si>
    <t>önle)</t>
  </si>
  <si>
    <t>CTRL+N (Yeni bir konsol aç)</t>
  </si>
  <si>
    <t>CTRL+S (Açık konsolu kaydet)</t>
  </si>
  <si>
    <t>Erişilebilirlik Klavye Kısayolları</t>
  </si>
  <si>
    <t>İletişim Kutusu Klavye Kısayolları</t>
  </si>
  <si>
    <t>CTRL+M (Bir konsol öğesi ekle veya kaldır)</t>
  </si>
  <si>
    <t>Sekiz saniye boyunca Sağ ÜSTKRKT (Filtre Tuşlarını aç veya kapat)</t>
  </si>
  <si>
    <t>CTRL+SEKME (Sekmeler arasında gezin)</t>
  </si>
  <si>
    <t>CTRL+W (Yeni bir pencere aç)</t>
  </si>
  <si>
    <t>Sol ALT+Sol ÜSTKRKT+PRINT SCREEN (Yüksek Karşıtlık'ı aç veya kapat)</t>
  </si>
  <si>
    <t>CTRL+ÜSTKRKT+SEKME (Sekmeler arasında geriye doğru git)</t>
  </si>
  <si>
    <t>Sol ALT+sol ÜSTKRKT+NUM LOCK (Fare Tuşları'nı aç veya kapat)</t>
  </si>
  <si>
    <t>SEKME (Seçenekler arasında ileriye doğru git)</t>
  </si>
  <si>
    <t>ALT+ARA ÇUBUĞU (MMC penceresi menüsünü görüntüle)</t>
  </si>
  <si>
    <t>Beş kez ÜSTKRKT (Yapışkan Tuşlar'ı aç veya kapat)</t>
  </si>
  <si>
    <t>ÜSTKRKT+SEKME (Seçenekler arasında geriye doğru git)</t>
  </si>
  <si>
    <t>ALT+F4 (Konsolu kapat)</t>
  </si>
  <si>
    <t>Beş saniye boyunca NUM LOCK (Geçiş Tuşları'nı aç veya kapat)</t>
  </si>
  <si>
    <t>ALT+Altı Çizili harf (İlgili komutu gerçekleştir veya ilgili seçeneği seç)</t>
  </si>
  <si>
    <t>ALT+A (Eylem menüsünü görüntüle)</t>
  </si>
  <si>
    <t>ENTER (Etkin seçeneğin veya düğmenin komutunu gerçekleştir)</t>
  </si>
  <si>
    <t>ALT+V (Görünüm menüsünü görüntüle)</t>
  </si>
  <si>
    <t>ARA ÇUBUĞU (Etkin seçenek bir onay kutusuysa onay kutusunu seç veya temizle)</t>
  </si>
  <si>
    <t>ALT+F (Dosya menüsünü görüntüle)</t>
  </si>
  <si>
    <t>Ok tuşları (Etkin seçenek seçenek düğmeleri grubuysa bir düğme seç)</t>
  </si>
  <si>
    <t>ALT+O (Sık Kullanılanlar menüsünü görüntüle)</t>
  </si>
  <si>
    <t>F1 tuşu (Yardım görüntüle)</t>
  </si>
  <si>
    <t>F4 tuşu (Etkin listedeki öğeleri görüntüle)</t>
  </si>
  <si>
    <t>GERİ (Kaydet veya Aç iletişim kutusunda bir klasör seçiliyse bir üst düzeydeki klasörü aç)</t>
  </si>
  <si>
    <t>NİSAN</t>
  </si>
  <si>
    <t>MAYIS</t>
  </si>
  <si>
    <t>HAZİRAN</t>
  </si>
  <si>
    <t>TEMMUZ</t>
  </si>
  <si>
    <t>AĞUSTOS</t>
  </si>
  <si>
    <t>EYLÜL</t>
  </si>
  <si>
    <t>EKİM</t>
  </si>
  <si>
    <t>KASIM</t>
  </si>
  <si>
    <t>ARALIK</t>
  </si>
  <si>
    <t>EXCEL SAYFASINDA YAPILAN İŞLEMLER</t>
  </si>
  <si>
    <t>3) Sabit Yatay Başlık : 1. Satır</t>
  </si>
  <si>
    <t>YAZICI AYARINDA YAPILAN İŞLEMLER</t>
  </si>
  <si>
    <t>5) Kağıdın Konumu : YATAY</t>
  </si>
  <si>
    <t>7) Kağıt boşlukları üst-alt-sol-sağ : 1</t>
  </si>
  <si>
    <t>8) Üst bilgi ve Alt Bilgi boşluğu : 0,3</t>
  </si>
  <si>
    <t>9) Yatay ve Dikey ortala</t>
  </si>
  <si>
    <t>10) Özel Üst Bilgi - orta : YILLIK SATIŞ RAPORU</t>
  </si>
  <si>
    <t>11) Üst Bilgi - sağ : Sayfa Numarası/Toplam Sayfa sayısı</t>
  </si>
  <si>
    <t>12) Alt Bilgi - sağ : Tarih ve Saat</t>
  </si>
  <si>
    <t>14) Sayfa sırası : Önce yukarıdan aşağıya, sonra sağa geçer</t>
  </si>
  <si>
    <t>No</t>
  </si>
  <si>
    <t>Dönem</t>
  </si>
  <si>
    <t>2016</t>
  </si>
  <si>
    <t>2017</t>
  </si>
  <si>
    <t>2018</t>
  </si>
  <si>
    <t>Ocak-Mart</t>
  </si>
  <si>
    <t>Nisan-Haziran</t>
  </si>
  <si>
    <t>Temmuz-Eylül</t>
  </si>
  <si>
    <t>Ekim-Aralık</t>
  </si>
  <si>
    <t>DÜŞEYARA</t>
  </si>
  <si>
    <t>YATAYARA</t>
  </si>
  <si>
    <t>Marka</t>
  </si>
  <si>
    <t>Satış Tutarı</t>
  </si>
  <si>
    <t>Ford</t>
  </si>
  <si>
    <t>Citroen</t>
  </si>
  <si>
    <t>Honda</t>
  </si>
  <si>
    <t>Peugeot</t>
  </si>
  <si>
    <t>Toyota</t>
  </si>
  <si>
    <t>Aranan</t>
  </si>
  <si>
    <t>sonuç</t>
  </si>
  <si>
    <t>En Yüksek Tutar</t>
  </si>
  <si>
    <t>MAK</t>
  </si>
  <si>
    <t>En Düşük Tutar</t>
  </si>
  <si>
    <t>MİN</t>
  </si>
  <si>
    <t>En Yüksek 2.tutar</t>
  </si>
  <si>
    <t>En Düşük 3.tutar</t>
  </si>
  <si>
    <t>BÜYÜK</t>
  </si>
  <si>
    <t>sıra no</t>
  </si>
  <si>
    <t>KÜÇÜK</t>
  </si>
  <si>
    <r>
      <rPr>
        <b/>
        <sz val="18"/>
        <color rgb="FFFF0000"/>
        <rFont val="Calibri"/>
        <family val="2"/>
        <charset val="162"/>
        <scheme val="minor"/>
      </rPr>
      <t>@gmail.com</t>
    </r>
    <r>
      <rPr>
        <b/>
        <sz val="18"/>
        <color theme="1"/>
        <rFont val="Calibri"/>
        <family val="2"/>
        <charset val="162"/>
        <scheme val="minor"/>
      </rPr>
      <t xml:space="preserve"> uzantılı</t>
    </r>
  </si>
  <si>
    <t>BİRLEŞTİR " "</t>
  </si>
  <si>
    <t>adı ve SOYADI birleşik ve boşluklu</t>
  </si>
  <si>
    <t>Adı-Soyadı</t>
  </si>
  <si>
    <t>Satış</t>
  </si>
  <si>
    <t>Şube</t>
  </si>
  <si>
    <t>Johnny Deep</t>
  </si>
  <si>
    <t>AVM</t>
  </si>
  <si>
    <t>Julia Roberts</t>
  </si>
  <si>
    <t>Plaza</t>
  </si>
  <si>
    <t>Brad Pitt</t>
  </si>
  <si>
    <t>Cadde</t>
  </si>
  <si>
    <t>Angelina Jolie</t>
  </si>
  <si>
    <t>Jan Reno</t>
  </si>
  <si>
    <t>Al Pacino</t>
  </si>
  <si>
    <t>Will Smith</t>
  </si>
  <si>
    <t>ürün</t>
  </si>
  <si>
    <t>hedef</t>
  </si>
  <si>
    <t>satış</t>
  </si>
  <si>
    <t>KOŞULLU BİÇİMLENDİRME</t>
  </si>
  <si>
    <t>EĞER</t>
  </si>
  <si>
    <t>mağaza</t>
  </si>
  <si>
    <t>tarih</t>
  </si>
  <si>
    <t>tutar</t>
  </si>
  <si>
    <r>
      <rPr>
        <b/>
        <sz val="22"/>
        <color rgb="FFC00000"/>
        <rFont val="Calibri"/>
        <family val="2"/>
        <charset val="162"/>
        <scheme val="minor"/>
      </rPr>
      <t>1.</t>
    </r>
    <r>
      <rPr>
        <b/>
        <sz val="22"/>
        <color theme="1"/>
        <rFont val="Calibri"/>
        <family val="2"/>
        <charset val="162"/>
        <scheme val="minor"/>
      </rPr>
      <t xml:space="preserve"> AVM olanlar</t>
    </r>
  </si>
  <si>
    <t>eşittir</t>
  </si>
  <si>
    <t>ELMA kırmızı</t>
  </si>
  <si>
    <r>
      <rPr>
        <b/>
        <sz val="22"/>
        <color rgb="FFC00000"/>
        <rFont val="Calibri"/>
        <family val="2"/>
        <charset val="162"/>
        <scheme val="minor"/>
      </rPr>
      <t>2.</t>
    </r>
    <r>
      <rPr>
        <b/>
        <sz val="22"/>
        <color theme="1"/>
        <rFont val="Calibri"/>
        <family val="2"/>
        <charset val="162"/>
        <scheme val="minor"/>
      </rPr>
      <t xml:space="preserve"> İçinde PLAZA geçenler</t>
    </r>
  </si>
  <si>
    <t>içerir</t>
  </si>
  <si>
    <t>ÜZÜM iri</t>
  </si>
  <si>
    <r>
      <rPr>
        <b/>
        <sz val="22"/>
        <color rgb="FFC00000"/>
        <rFont val="Calibri"/>
        <family val="2"/>
        <charset val="162"/>
        <scheme val="minor"/>
      </rPr>
      <t>3.</t>
    </r>
    <r>
      <rPr>
        <b/>
        <sz val="22"/>
        <color theme="1"/>
        <rFont val="Calibri"/>
        <family val="2"/>
        <charset val="162"/>
        <scheme val="minor"/>
      </rPr>
      <t xml:space="preserve"> 31.07.2018 den sonra olanlar</t>
    </r>
  </si>
  <si>
    <t>sonra</t>
  </si>
  <si>
    <t>MANDALİNA</t>
  </si>
  <si>
    <t>PLAZA</t>
  </si>
  <si>
    <t xml:space="preserve">büyüktür </t>
  </si>
  <si>
    <t>ÜSÜM</t>
  </si>
  <si>
    <t>CADDE</t>
  </si>
  <si>
    <t>küçüktür</t>
  </si>
  <si>
    <t>ELMA yeşil</t>
  </si>
  <si>
    <t>Filtre Türleri</t>
  </si>
  <si>
    <t>renk seçimi</t>
  </si>
  <si>
    <t>ÜZÜM iri BEYAZ</t>
  </si>
  <si>
    <t># Metinsel</t>
  </si>
  <si>
    <t>ELMA sarı</t>
  </si>
  <si>
    <t>PLAZA A</t>
  </si>
  <si>
    <t># Tarihsel</t>
  </si>
  <si>
    <t>ile başlar</t>
  </si>
  <si>
    <t># Sayısal</t>
  </si>
  <si>
    <t>ile bitmez</t>
  </si>
  <si>
    <t>ÇAVUŞ ÜZÜMÜ</t>
  </si>
  <si>
    <t># Dolgu Rengi</t>
  </si>
  <si>
    <t>ÜZÜM yeşil</t>
  </si>
  <si>
    <t>PLAZA B</t>
  </si>
  <si>
    <t># Yazı Rengi</t>
  </si>
  <si>
    <t>Soldan Sağa karşılık verisini bulur</t>
  </si>
  <si>
    <t>Yukarıdan aşağıya karşılık verisini bulur</t>
  </si>
  <si>
    <r>
      <t xml:space="preserve">Dosyayı kaydedip kapatma ekranını açar
</t>
    </r>
    <r>
      <rPr>
        <b/>
        <i/>
        <sz val="14"/>
        <color theme="1" tint="4.9989318521683403E-2"/>
        <rFont val="Verdana"/>
        <family val="2"/>
        <charset val="162"/>
      </rPr>
      <t>(Ctrl F4) (Alt F4)</t>
    </r>
  </si>
  <si>
    <t>Geri alınan işlemi yeniden yapar</t>
  </si>
  <si>
    <r>
      <t xml:space="preserve">Hücrenin bulunduğu sütunu seçer </t>
    </r>
    <r>
      <rPr>
        <b/>
        <i/>
        <sz val="12"/>
        <color theme="1" tint="4.9989318521683403E-2"/>
        <rFont val="Verdana"/>
        <family val="2"/>
        <charset val="162"/>
      </rPr>
      <t>(Ctrl Space)</t>
    </r>
  </si>
  <si>
    <t>Basılı İken</t>
  </si>
  <si>
    <t>Ctrl</t>
  </si>
  <si>
    <t>Alt</t>
  </si>
  <si>
    <t>Alt Gr</t>
  </si>
  <si>
    <t>Shift</t>
  </si>
  <si>
    <t>Bu tuşlarla kullanılan kısa yollar tuşlara "basılı iken" çalışır</t>
  </si>
  <si>
    <t>Windows</t>
  </si>
  <si>
    <t>Ctrl W</t>
  </si>
  <si>
    <t>2019</t>
  </si>
  <si>
    <t>2020</t>
  </si>
  <si>
    <t>Karşılaştırmalı Grafik</t>
  </si>
  <si>
    <t>Oca-Mart</t>
  </si>
  <si>
    <t>Nis-Haz</t>
  </si>
  <si>
    <t>Tem-Eyl</t>
  </si>
  <si>
    <t>Eki-Ara</t>
  </si>
  <si>
    <t>1 Yıl Karşılaştırması</t>
  </si>
  <si>
    <t>Sayfa Düzeni</t>
  </si>
  <si>
    <t>Sayfa</t>
  </si>
  <si>
    <t>Kenar boş lukları</t>
  </si>
  <si>
    <t>Çalışma Sayfası</t>
  </si>
  <si>
    <t>Üst Bilgi Alt Bilgi</t>
  </si>
  <si>
    <t>julia</t>
  </si>
  <si>
    <t>roberts</t>
  </si>
  <si>
    <t>Yıl</t>
  </si>
  <si>
    <t>Ay</t>
  </si>
  <si>
    <t>Gün</t>
  </si>
  <si>
    <t>Resmi Tatiller</t>
  </si>
  <si>
    <t>Simge Kümeleri</t>
  </si>
  <si>
    <t>"ÖNCE ALAN SEÇİLİR"</t>
  </si>
  <si>
    <t>satıcı</t>
  </si>
  <si>
    <t>Roberto</t>
  </si>
  <si>
    <t>Diego</t>
  </si>
  <si>
    <t>Armando</t>
  </si>
  <si>
    <t>Ricardo</t>
  </si>
  <si>
    <t>Fernando</t>
  </si>
  <si>
    <t>GRAFİK 1</t>
  </si>
  <si>
    <t>Bölüm</t>
  </si>
  <si>
    <t>Cinsiyet</t>
  </si>
  <si>
    <t>İK</t>
  </si>
  <si>
    <t>Kadın</t>
  </si>
  <si>
    <t>Erkek</t>
  </si>
  <si>
    <t>Üretim</t>
  </si>
  <si>
    <t>Eğitim</t>
  </si>
  <si>
    <t>Bud Abbott</t>
  </si>
  <si>
    <t>Art Acord</t>
  </si>
  <si>
    <t>Amy Adams</t>
  </si>
  <si>
    <t>Depo</t>
  </si>
  <si>
    <t>Philip Ahn</t>
  </si>
  <si>
    <t>Tim Allen</t>
  </si>
  <si>
    <t>Kirstie Alley</t>
  </si>
  <si>
    <t>Don Alvarado</t>
  </si>
  <si>
    <t>Julie Andrews</t>
  </si>
  <si>
    <t>Ann-Margret</t>
  </si>
  <si>
    <t>Alan Arkin</t>
  </si>
  <si>
    <t>Jean Arthur</t>
  </si>
  <si>
    <t>Fred Astaire</t>
  </si>
  <si>
    <t>Mary Astor</t>
  </si>
  <si>
    <t>Lew Ayres</t>
  </si>
  <si>
    <t>Lauren Bacall</t>
  </si>
  <si>
    <t>Kevin Bacon</t>
  </si>
  <si>
    <t>Fay Bainter</t>
  </si>
  <si>
    <t>Carroll Baker</t>
  </si>
  <si>
    <t>Lucille Ball</t>
  </si>
  <si>
    <t>Üniversite</t>
  </si>
  <si>
    <t>Lise</t>
  </si>
  <si>
    <t>MYO</t>
  </si>
  <si>
    <t>Filtre</t>
  </si>
  <si>
    <t>Muhasebe</t>
  </si>
  <si>
    <t>Bölümler</t>
  </si>
  <si>
    <t>Maaş</t>
  </si>
  <si>
    <t>Koşul</t>
  </si>
  <si>
    <t>=</t>
  </si>
  <si>
    <t>&lt;&gt;</t>
  </si>
  <si>
    <t>&gt;=</t>
  </si>
  <si>
    <t>&gt;</t>
  </si>
  <si>
    <t>&lt;=</t>
  </si>
  <si>
    <t>&lt;</t>
  </si>
  <si>
    <t>2.Yöntem</t>
  </si>
  <si>
    <t>3.Yöntem</t>
  </si>
  <si>
    <t>123,00</t>
  </si>
  <si>
    <t>27,50</t>
  </si>
  <si>
    <t>49,50</t>
  </si>
  <si>
    <t>1 sütunda tekrar</t>
  </si>
  <si>
    <t>2 sütunda tekrar</t>
  </si>
  <si>
    <t>3 sütunda tekrar</t>
  </si>
  <si>
    <t>YİNELENENLERİ KALDIR</t>
  </si>
  <si>
    <t>SAYIYA ÇEVİR</t>
  </si>
  <si>
    <t>YAZICI AYARLARI</t>
  </si>
  <si>
    <t>$</t>
  </si>
  <si>
    <t>*</t>
  </si>
  <si>
    <t>adet</t>
  </si>
  <si>
    <t>&amp;</t>
  </si>
  <si>
    <t>?</t>
  </si>
  <si>
    <t>SEMBOLLER</t>
  </si>
  <si>
    <r>
      <t xml:space="preserve">_ </t>
    </r>
    <r>
      <rPr>
        <b/>
        <sz val="18"/>
        <color rgb="FFFF0000"/>
        <rFont val="Calibri"/>
        <family val="2"/>
        <charset val="162"/>
        <scheme val="minor"/>
      </rPr>
      <t>$</t>
    </r>
    <r>
      <rPr>
        <b/>
        <sz val="18"/>
        <color rgb="FF002060"/>
        <rFont val="Calibri"/>
        <family val="2"/>
        <charset val="162"/>
        <scheme val="minor"/>
      </rPr>
      <t>A1 : A sütununu sabitler
_ A</t>
    </r>
    <r>
      <rPr>
        <b/>
        <sz val="18"/>
        <color rgb="FFFF0000"/>
        <rFont val="Calibri"/>
        <family val="2"/>
        <charset val="162"/>
        <scheme val="minor"/>
      </rPr>
      <t>$</t>
    </r>
    <r>
      <rPr>
        <b/>
        <sz val="18"/>
        <color rgb="FF002060"/>
        <rFont val="Calibri"/>
        <family val="2"/>
        <charset val="162"/>
        <scheme val="minor"/>
      </rPr>
      <t xml:space="preserve">1 : 1. satırı sabitler
_ </t>
    </r>
    <r>
      <rPr>
        <b/>
        <sz val="18"/>
        <color rgb="FFFF0000"/>
        <rFont val="Calibri"/>
        <family val="2"/>
        <charset val="162"/>
        <scheme val="minor"/>
      </rPr>
      <t>$</t>
    </r>
    <r>
      <rPr>
        <b/>
        <sz val="18"/>
        <color rgb="FF002060"/>
        <rFont val="Calibri"/>
        <family val="2"/>
        <charset val="162"/>
        <scheme val="minor"/>
      </rPr>
      <t>A</t>
    </r>
    <r>
      <rPr>
        <b/>
        <sz val="18"/>
        <color rgb="FFFF0000"/>
        <rFont val="Calibri"/>
        <family val="2"/>
        <charset val="162"/>
        <scheme val="minor"/>
      </rPr>
      <t>$</t>
    </r>
    <r>
      <rPr>
        <b/>
        <sz val="18"/>
        <color rgb="FF002060"/>
        <rFont val="Calibri"/>
        <family val="2"/>
        <charset val="162"/>
        <scheme val="minor"/>
      </rPr>
      <t>1 : A1 hücresini sabitler</t>
    </r>
  </si>
  <si>
    <t>Tekil veri farklarını birleştirir</t>
  </si>
  <si>
    <t>Çoğul veri farklarını birleştirir</t>
  </si>
  <si>
    <t>Hücre adreslerini sabitler</t>
  </si>
  <si>
    <t>"</t>
  </si>
  <si>
    <t>'</t>
  </si>
  <si>
    <t>Bütün formüller = eşittir ile başlar</t>
  </si>
  <si>
    <t>:</t>
  </si>
  <si>
    <t>;</t>
  </si>
  <si>
    <t>Formül unsurlarını ayırır</t>
  </si>
  <si>
    <t>!</t>
  </si>
  <si>
    <t>()</t>
  </si>
  <si>
    <t>Sayfa adı belirtmek içindir</t>
  </si>
  <si>
    <r>
      <t>Formüller içinde yazılan Sayfa adlarının Alan hücre adresleri arasında kullanılır.
Örnek : "SEMBOLLER</t>
    </r>
    <r>
      <rPr>
        <b/>
        <sz val="16"/>
        <color rgb="FFFF0000"/>
        <rFont val="Calibri"/>
        <family val="2"/>
        <charset val="162"/>
        <scheme val="minor"/>
      </rPr>
      <t>!</t>
    </r>
    <r>
      <rPr>
        <b/>
        <sz val="16"/>
        <color rgb="FF002060"/>
        <rFont val="Calibri"/>
        <family val="2"/>
        <charset val="162"/>
        <scheme val="minor"/>
      </rPr>
      <t>"&amp;A1:D10</t>
    </r>
  </si>
  <si>
    <r>
      <t xml:space="preserve">Excelde bütün formüller formül sözcüğünden sonra </t>
    </r>
    <r>
      <rPr>
        <b/>
        <sz val="18"/>
        <color rgb="FFFF0000"/>
        <rFont val="Calibri"/>
        <family val="2"/>
        <charset val="162"/>
        <scheme val="minor"/>
      </rPr>
      <t>(</t>
    </r>
    <r>
      <rPr>
        <b/>
        <sz val="18"/>
        <color rgb="FF002060"/>
        <rFont val="Calibri"/>
        <family val="2"/>
        <charset val="162"/>
        <scheme val="minor"/>
      </rPr>
      <t xml:space="preserve"> parantez yazılır ve </t>
    </r>
    <r>
      <rPr>
        <b/>
        <sz val="18"/>
        <color rgb="FFFF0000"/>
        <rFont val="Calibri"/>
        <family val="2"/>
        <charset val="162"/>
        <scheme val="minor"/>
      </rPr>
      <t>)</t>
    </r>
    <r>
      <rPr>
        <b/>
        <sz val="18"/>
        <color rgb="FF002060"/>
        <rFont val="Calibri"/>
        <family val="2"/>
        <charset val="162"/>
        <scheme val="minor"/>
      </rPr>
      <t xml:space="preserve"> parantez ile kapatılır</t>
    </r>
  </si>
  <si>
    <r>
      <t>Örneğin "Pİ</t>
    </r>
    <r>
      <rPr>
        <b/>
        <sz val="18"/>
        <color rgb="FFFF0000"/>
        <rFont val="Calibri"/>
        <family val="2"/>
        <charset val="162"/>
        <scheme val="minor"/>
      </rPr>
      <t>?</t>
    </r>
    <r>
      <rPr>
        <b/>
        <sz val="18"/>
        <color rgb="FF002060"/>
        <rFont val="Calibri"/>
        <family val="2"/>
        <charset val="162"/>
        <scheme val="minor"/>
      </rPr>
      <t>E" koşulu 
"Pİ</t>
    </r>
    <r>
      <rPr>
        <b/>
        <sz val="18"/>
        <color rgb="FFFF0000"/>
        <rFont val="Calibri"/>
        <family val="2"/>
        <charset val="162"/>
        <scheme val="minor"/>
      </rPr>
      <t>D</t>
    </r>
    <r>
      <rPr>
        <b/>
        <sz val="18"/>
        <color rgb="FF002060"/>
        <rFont val="Calibri"/>
        <family val="2"/>
        <charset val="162"/>
        <scheme val="minor"/>
      </rPr>
      <t>E", "Pİ</t>
    </r>
    <r>
      <rPr>
        <b/>
        <sz val="18"/>
        <color rgb="FFFF0000"/>
        <rFont val="Calibri"/>
        <family val="2"/>
        <charset val="162"/>
        <scheme val="minor"/>
      </rPr>
      <t>K</t>
    </r>
    <r>
      <rPr>
        <b/>
        <sz val="18"/>
        <color rgb="FF002060"/>
        <rFont val="Calibri"/>
        <family val="2"/>
        <charset val="162"/>
        <scheme val="minor"/>
      </rPr>
      <t>E", "Pİ</t>
    </r>
    <r>
      <rPr>
        <b/>
        <sz val="18"/>
        <color rgb="FFFF0000"/>
        <rFont val="Calibri"/>
        <family val="2"/>
        <charset val="162"/>
        <scheme val="minor"/>
      </rPr>
      <t>R</t>
    </r>
    <r>
      <rPr>
        <b/>
        <sz val="18"/>
        <color rgb="FF002060"/>
        <rFont val="Calibri"/>
        <family val="2"/>
        <charset val="162"/>
        <scheme val="minor"/>
      </rPr>
      <t>E", "Pİ</t>
    </r>
    <r>
      <rPr>
        <b/>
        <sz val="18"/>
        <color rgb="FFFF0000"/>
        <rFont val="Calibri"/>
        <family val="2"/>
        <charset val="162"/>
        <scheme val="minor"/>
      </rPr>
      <t>L</t>
    </r>
    <r>
      <rPr>
        <b/>
        <sz val="18"/>
        <color rgb="FF002060"/>
        <rFont val="Calibri"/>
        <family val="2"/>
        <charset val="162"/>
        <scheme val="minor"/>
      </rPr>
      <t>E" olan tüm verileri kapsar</t>
    </r>
  </si>
  <si>
    <t>EĞERSAY - ÇOKEĞERSAY</t>
  </si>
  <si>
    <r>
      <t xml:space="preserve">FIRIN </t>
    </r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204"/>
        <scheme val="minor"/>
      </rPr>
      <t>DESİ</t>
    </r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</si>
  <si>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204"/>
        <scheme val="minor"/>
      </rPr>
      <t>NTİ</t>
    </r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</si>
  <si>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204"/>
        <scheme val="minor"/>
      </rPr>
      <t>RZOLA</t>
    </r>
  </si>
  <si>
    <t>HIZLI ERİŞİM ÇUBUĞU</t>
  </si>
  <si>
    <t>Ürün</t>
  </si>
  <si>
    <t>Grup</t>
  </si>
  <si>
    <t>Reyon</t>
  </si>
  <si>
    <t>Meyve</t>
  </si>
  <si>
    <t>Elma</t>
  </si>
  <si>
    <t>Lahana</t>
  </si>
  <si>
    <t>Manav</t>
  </si>
  <si>
    <t>Kivi</t>
  </si>
  <si>
    <t>Egzotik</t>
  </si>
  <si>
    <t>Kabak</t>
  </si>
  <si>
    <t>Sebze</t>
  </si>
  <si>
    <t>Kiraz</t>
  </si>
  <si>
    <t>Yeşil</t>
  </si>
  <si>
    <t>Limon</t>
  </si>
  <si>
    <t>BUL DEĞİŞTİR</t>
  </si>
  <si>
    <t>Çalışma Günleri</t>
  </si>
  <si>
    <t>Başlangıç</t>
  </si>
  <si>
    <t>Bitiş</t>
  </si>
  <si>
    <t>Kaç İş Günü</t>
  </si>
  <si>
    <t>Tarih</t>
  </si>
  <si>
    <t>Kitap Adı</t>
  </si>
  <si>
    <t>türü</t>
  </si>
  <si>
    <t>saat</t>
  </si>
  <si>
    <t>Mükemmel Şirket</t>
  </si>
  <si>
    <t>İş</t>
  </si>
  <si>
    <t>Sağlık</t>
  </si>
  <si>
    <t>Akdeniz Yemekleri</t>
  </si>
  <si>
    <t>Mizah</t>
  </si>
  <si>
    <t>Yoga Teknikleri</t>
  </si>
  <si>
    <t>Başbakanı Kim Öptü</t>
  </si>
  <si>
    <t>Anna Karanina</t>
  </si>
  <si>
    <t>Etkin Liderlik</t>
  </si>
  <si>
    <t>Özel</t>
  </si>
  <si>
    <t>Girdi İletisi</t>
  </si>
  <si>
    <t>TL Tutar</t>
  </si>
  <si>
    <t>Tutar girişi yanlış</t>
  </si>
  <si>
    <t>Kitap Türünü Listeden seçiniz</t>
  </si>
  <si>
    <t>Tarih yarın olmalı</t>
  </si>
  <si>
    <t>Sevk Saati 19:00 
den sonra olmalı</t>
  </si>
  <si>
    <t>Metin Uzunluğu</t>
  </si>
  <si>
    <t>Tümsayı</t>
  </si>
  <si>
    <t>Ondalık Sayı</t>
  </si>
  <si>
    <t>Liste</t>
  </si>
  <si>
    <t>Saat</t>
  </si>
  <si>
    <t>Bugün + 1</t>
  </si>
  <si>
    <t>VERİ DOĞRULAMA</t>
  </si>
  <si>
    <t>Roman</t>
  </si>
  <si>
    <t>Makro Ekranı Açılış Yöntemleri</t>
  </si>
  <si>
    <t>1. Alt F11 tuşlarına basılarak</t>
  </si>
  <si>
    <t>Sub Auto_Close()</t>
  </si>
  <si>
    <t xml:space="preserve">    ActiveWorkbook.Save</t>
  </si>
  <si>
    <t>End Sub</t>
  </si>
  <si>
    <t>Sub Auto_Open()</t>
  </si>
  <si>
    <t>Dosya Açılış Sayfası</t>
  </si>
  <si>
    <r>
      <t>Sheets("</t>
    </r>
    <r>
      <rPr>
        <b/>
        <sz val="11"/>
        <color rgb="FFFF0000"/>
        <rFont val="Verdana"/>
        <family val="2"/>
        <charset val="162"/>
      </rPr>
      <t>__ANA SAYFA</t>
    </r>
    <r>
      <rPr>
        <b/>
        <sz val="11"/>
        <color theme="1"/>
        <rFont val="Verdana"/>
        <family val="2"/>
        <charset val="162"/>
      </rPr>
      <t>").Select</t>
    </r>
  </si>
  <si>
    <r>
      <rPr>
        <b/>
        <sz val="22"/>
        <color rgb="FFFF0000"/>
        <rFont val="Calibri"/>
        <family val="2"/>
        <charset val="162"/>
        <scheme val="minor"/>
      </rPr>
      <t>VE</t>
    </r>
    <r>
      <rPr>
        <b/>
        <sz val="22"/>
        <color theme="3"/>
        <rFont val="Calibri"/>
        <family val="2"/>
        <charset val="162"/>
        <scheme val="minor"/>
      </rPr>
      <t xml:space="preserve"> : 
Her 2 koşul da aynı hücrede olmalıdır.  
</t>
    </r>
    <r>
      <rPr>
        <b/>
        <sz val="22"/>
        <color rgb="FFFF0000"/>
        <rFont val="Calibri"/>
        <family val="2"/>
        <charset val="162"/>
        <scheme val="minor"/>
      </rPr>
      <t>"Hem + Hem" : "Kısıtlayıcı"</t>
    </r>
  </si>
  <si>
    <t>ELMA</t>
  </si>
  <si>
    <t>KİVİ</t>
  </si>
  <si>
    <t>ÜZÜM</t>
  </si>
  <si>
    <t>MUZ</t>
  </si>
  <si>
    <t>ERİK</t>
  </si>
  <si>
    <t>meyve</t>
  </si>
  <si>
    <t>tropik</t>
  </si>
  <si>
    <t>LAHANA</t>
  </si>
  <si>
    <t>sebze</t>
  </si>
  <si>
    <t>MARUL</t>
  </si>
  <si>
    <t>PIRASA</t>
  </si>
  <si>
    <t>ISPANAK</t>
  </si>
  <si>
    <t>SIRALAMA</t>
  </si>
  <si>
    <t>GRAFİK 2</t>
  </si>
  <si>
    <t>GRAFİK 3</t>
  </si>
  <si>
    <t>MAKROYA GİRİŞ : Otomatik Yedek - Açılış Sayfası</t>
  </si>
  <si>
    <t>Sıralama Türleri</t>
  </si>
  <si>
    <t xml:space="preserve">    FileFormat:=xlOpenXMLWorkbookMacroEnabled, CreateBackup:=False, Password:=""</t>
  </si>
  <si>
    <t>2. Sütundaki verinin Metin, Sayı, Tarih olmasına göre sıralatma seçenekleri farklılaşır</t>
  </si>
  <si>
    <t>Sütunları Sıralatma</t>
  </si>
  <si>
    <t>Kodun Tanımı</t>
  </si>
  <si>
    <t>Kod bitiş ibaresi</t>
  </si>
  <si>
    <t>Dosyayı kaydeder</t>
  </si>
  <si>
    <t>İŞ GÜNÜ FORMÜLLERİ</t>
  </si>
  <si>
    <r>
      <t xml:space="preserve">Kısa Yol : </t>
    </r>
    <r>
      <rPr>
        <b/>
        <sz val="28"/>
        <color theme="1"/>
        <rFont val="Calibri"/>
        <family val="2"/>
        <charset val="162"/>
        <scheme val="minor"/>
      </rPr>
      <t>Ctrl Shift L</t>
    </r>
  </si>
  <si>
    <r>
      <rPr>
        <b/>
        <sz val="28"/>
        <color rgb="FF002060"/>
        <rFont val="Calibri"/>
        <family val="2"/>
        <charset val="162"/>
        <scheme val="minor"/>
      </rPr>
      <t>abc</t>
    </r>
    <r>
      <rPr>
        <b/>
        <sz val="28"/>
        <color rgb="FFFF0000"/>
        <rFont val="Calibri"/>
        <family val="2"/>
        <charset val="162"/>
        <scheme val="minor"/>
      </rPr>
      <t>*</t>
    </r>
  </si>
  <si>
    <r>
      <t>*</t>
    </r>
    <r>
      <rPr>
        <b/>
        <sz val="28"/>
        <color rgb="FF002060"/>
        <rFont val="Calibri"/>
        <family val="2"/>
        <charset val="162"/>
        <scheme val="minor"/>
      </rPr>
      <t>abc</t>
    </r>
  </si>
  <si>
    <r>
      <t>*</t>
    </r>
    <r>
      <rPr>
        <b/>
        <sz val="28"/>
        <color rgb="FF002060"/>
        <rFont val="Calibri"/>
        <family val="2"/>
        <charset val="162"/>
        <scheme val="minor"/>
      </rPr>
      <t>abc</t>
    </r>
    <r>
      <rPr>
        <b/>
        <sz val="28"/>
        <color rgb="FFFF0000"/>
        <rFont val="Calibri"/>
        <family val="2"/>
        <charset val="162"/>
        <scheme val="minor"/>
      </rPr>
      <t>*</t>
    </r>
  </si>
  <si>
    <t>Muz</t>
  </si>
  <si>
    <t>=C3*1</t>
  </si>
  <si>
    <t>=SAYIYAÇEVİR(C3)</t>
  </si>
  <si>
    <t>=ÇOKETOPLA($G$2:$G$21;</t>
  </si>
  <si>
    <t>Toplamı alınacak veri alanı</t>
  </si>
  <si>
    <t>$D$2:$D$21;"="&amp;$I2;</t>
  </si>
  <si>
    <t>$E$2:$E$21;"="&amp;$K$9;</t>
  </si>
  <si>
    <t>$F$2:$F$21;"="&amp;K$1)</t>
  </si>
  <si>
    <r>
      <t>$G$2:$G$21</t>
    </r>
    <r>
      <rPr>
        <b/>
        <sz val="15"/>
        <color theme="1"/>
        <rFont val="Calibri"/>
        <family val="2"/>
        <charset val="162"/>
        <scheme val="minor"/>
      </rPr>
      <t>;$M$10&amp;$K$10;</t>
    </r>
  </si>
  <si>
    <t>DÜŞEYARA - YATAYARA</t>
  </si>
  <si>
    <r>
      <t xml:space="preserve">2 ve daha fazla unsurdan oluşan formüllerde; unsurlar noktalı virgül ; ile ayrılırlar. </t>
    </r>
    <r>
      <rPr>
        <b/>
        <i/>
        <sz val="16"/>
        <color theme="0"/>
        <rFont val="Calibri"/>
        <family val="2"/>
        <charset val="162"/>
        <scheme val="minor"/>
      </rPr>
      <t>(bazı cihazlarda , kullanılabilir)</t>
    </r>
  </si>
  <si>
    <t>2) K32 hücresinde sayfa sonu</t>
  </si>
  <si>
    <t>4) Sabit Dikey Başlık : B:C Sütunu</t>
  </si>
  <si>
    <t>Dönemin yıllara göre sonuçları</t>
  </si>
  <si>
    <t>Yıllara göre toplam sonuçları</t>
  </si>
  <si>
    <r>
      <t xml:space="preserve">Ekranı kilitler </t>
    </r>
    <r>
      <rPr>
        <b/>
        <i/>
        <sz val="14"/>
        <color theme="1"/>
        <rFont val="Verdana"/>
        <family val="2"/>
        <charset val="162"/>
      </rPr>
      <t>(Kullanıcı oturum açma ekranı)</t>
    </r>
  </si>
  <si>
    <r>
      <rPr>
        <b/>
        <sz val="13"/>
        <color theme="1" tint="4.9989318521683403E-2"/>
        <rFont val="Verdana"/>
        <family val="2"/>
        <charset val="162"/>
      </rPr>
      <t>Açık Excel dosyaları arasında geçişi sağlar</t>
    </r>
    <r>
      <rPr>
        <b/>
        <sz val="14"/>
        <color theme="1" tint="4.9989318521683403E-2"/>
        <rFont val="Verdana"/>
        <family val="2"/>
        <charset val="162"/>
      </rPr>
      <t xml:space="preserve"> </t>
    </r>
    <r>
      <rPr>
        <b/>
        <i/>
        <sz val="14"/>
        <color theme="1"/>
        <rFont val="Verdana"/>
        <family val="2"/>
        <charset val="162"/>
      </rPr>
      <t>(Ctrl F6)</t>
    </r>
  </si>
  <si>
    <t>Alt 0178</t>
  </si>
  <si>
    <t>m²</t>
  </si>
  <si>
    <t>m³</t>
  </si>
  <si>
    <t>Alt 0179</t>
  </si>
  <si>
    <t>©</t>
  </si>
  <si>
    <t>(C)</t>
  </si>
  <si>
    <r>
      <t xml:space="preserve">Sayfa adında boşluk (space) varsa ve sayfa adı formülde kullanılırsa sayfa tanımından önce ve sonra çift ve tek tırnak içinde yazılır.
</t>
    </r>
    <r>
      <rPr>
        <b/>
        <sz val="18"/>
        <color rgb="FF002060"/>
        <rFont val="Calibri"/>
        <family val="2"/>
        <charset val="162"/>
        <scheme val="minor"/>
      </rPr>
      <t>"</t>
    </r>
    <r>
      <rPr>
        <b/>
        <sz val="18"/>
        <color rgb="FFFF0000"/>
        <rFont val="Calibri"/>
        <family val="2"/>
        <charset val="162"/>
        <scheme val="minor"/>
      </rPr>
      <t>'KISA YOL'!A1</t>
    </r>
    <r>
      <rPr>
        <b/>
        <sz val="18"/>
        <color rgb="FF002060"/>
        <rFont val="Calibri"/>
        <family val="2"/>
        <charset val="162"/>
        <scheme val="minor"/>
      </rPr>
      <t>"</t>
    </r>
  </si>
  <si>
    <r>
      <t xml:space="preserve">_ </t>
    </r>
    <r>
      <rPr>
        <b/>
        <sz val="16"/>
        <color rgb="FFFF0000"/>
        <rFont val="Calibri"/>
        <family val="2"/>
        <charset val="162"/>
        <scheme val="minor"/>
      </rPr>
      <t>*</t>
    </r>
    <r>
      <rPr>
        <b/>
        <sz val="16"/>
        <color rgb="FF002060"/>
        <rFont val="Calibri"/>
        <family val="2"/>
        <charset val="162"/>
        <scheme val="minor"/>
      </rPr>
      <t xml:space="preserve"> Metin : </t>
    </r>
    <r>
      <rPr>
        <b/>
        <sz val="14"/>
        <color rgb="FF002060"/>
        <rFont val="Calibri"/>
        <family val="2"/>
        <charset val="162"/>
        <scheme val="minor"/>
      </rPr>
      <t>Belirli bir ifadeyle bitenler için</t>
    </r>
    <r>
      <rPr>
        <b/>
        <sz val="16"/>
        <color rgb="FF002060"/>
        <rFont val="Calibri"/>
        <family val="2"/>
        <charset val="162"/>
        <scheme val="minor"/>
      </rPr>
      <t xml:space="preserve">
_  Metin </t>
    </r>
    <r>
      <rPr>
        <b/>
        <sz val="16"/>
        <color rgb="FFFF0000"/>
        <rFont val="Calibri"/>
        <family val="2"/>
        <charset val="162"/>
        <scheme val="minor"/>
      </rPr>
      <t>*</t>
    </r>
    <r>
      <rPr>
        <b/>
        <sz val="16"/>
        <color rgb="FF002060"/>
        <rFont val="Calibri"/>
        <family val="2"/>
        <charset val="162"/>
        <scheme val="minor"/>
      </rPr>
      <t xml:space="preserve"> : </t>
    </r>
    <r>
      <rPr>
        <b/>
        <sz val="14"/>
        <color rgb="FF002060"/>
        <rFont val="Calibri"/>
        <family val="2"/>
        <charset val="162"/>
        <scheme val="minor"/>
      </rPr>
      <t>Belirli bir ifadeyle başlayanlar için</t>
    </r>
    <r>
      <rPr>
        <b/>
        <sz val="16"/>
        <color rgb="FF002060"/>
        <rFont val="Calibri"/>
        <family val="2"/>
        <charset val="162"/>
        <scheme val="minor"/>
      </rPr>
      <t xml:space="preserve">
_ </t>
    </r>
    <r>
      <rPr>
        <b/>
        <sz val="16"/>
        <color rgb="FFFF0000"/>
        <rFont val="Calibri"/>
        <family val="2"/>
        <charset val="162"/>
        <scheme val="minor"/>
      </rPr>
      <t>*</t>
    </r>
    <r>
      <rPr>
        <b/>
        <sz val="16"/>
        <color rgb="FF002060"/>
        <rFont val="Calibri"/>
        <family val="2"/>
        <charset val="162"/>
        <scheme val="minor"/>
      </rPr>
      <t xml:space="preserve"> Metin </t>
    </r>
    <r>
      <rPr>
        <b/>
        <sz val="16"/>
        <color rgb="FFFF0000"/>
        <rFont val="Calibri"/>
        <family val="2"/>
        <charset val="162"/>
        <scheme val="minor"/>
      </rPr>
      <t>*</t>
    </r>
    <r>
      <rPr>
        <b/>
        <sz val="16"/>
        <color rgb="FF002060"/>
        <rFont val="Calibri"/>
        <family val="2"/>
        <charset val="162"/>
        <scheme val="minor"/>
      </rPr>
      <t xml:space="preserve"> : </t>
    </r>
    <r>
      <rPr>
        <b/>
        <sz val="14"/>
        <color rgb="FF002060"/>
        <rFont val="Calibri"/>
        <family val="2"/>
        <charset val="162"/>
        <scheme val="minor"/>
      </rPr>
      <t>Belli bir ifadeyi içerenler için</t>
    </r>
  </si>
  <si>
    <t>Satış tutarlarının Veri Çubukları ile gösterilmesi</t>
  </si>
  <si>
    <t>1.Yöntem</t>
  </si>
  <si>
    <t>Halı</t>
  </si>
  <si>
    <t>Masa</t>
  </si>
  <si>
    <t>Dolap</t>
  </si>
  <si>
    <t>Sayıların metin gibi kullanılması</t>
  </si>
  <si>
    <r>
      <t xml:space="preserve"># Simge </t>
    </r>
    <r>
      <rPr>
        <b/>
        <i/>
        <sz val="20"/>
        <color rgb="FFFF0000"/>
        <rFont val="Calibri"/>
        <family val="2"/>
        <charset val="162"/>
        <scheme val="minor"/>
      </rPr>
      <t>(koşullu biçimlendirme)</t>
    </r>
  </si>
  <si>
    <t>gg aa yyyy</t>
  </si>
  <si>
    <t>gg aaa yyyy, ggg</t>
  </si>
  <si>
    <t>gg aaaa yyyy, gggg</t>
  </si>
  <si>
    <t>gg.aa.yy, gggg</t>
  </si>
  <si>
    <r>
      <t xml:space="preserve">Formülde kullanılan alanın başlangıç hücre adresi (sol üst) ile bitiş hücre adresi (sağ alt) arasında kullanılır  </t>
    </r>
    <r>
      <rPr>
        <b/>
        <sz val="16"/>
        <color rgb="FFFF0000"/>
        <rFont val="Calibri"/>
        <family val="2"/>
        <charset val="162"/>
        <scheme val="minor"/>
      </rPr>
      <t>C1:F10</t>
    </r>
  </si>
  <si>
    <t>1) Yazdırma Alanı : C2:R57</t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</si>
  <si>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204"/>
        <scheme val="minor"/>
      </rPr>
      <t>LLİ BEBEK</t>
    </r>
  </si>
  <si>
    <r>
      <t xml:space="preserve">Metinsel ifadeler ve koşul işaretleri formül içine " çift tırnak " işaretleri arasında yazılır. " Çift tırnak sembolü parantezler gibi 2'li kullanılır.
Örnek : </t>
    </r>
    <r>
      <rPr>
        <b/>
        <sz val="18"/>
        <color rgb="FFFF0000"/>
        <rFont val="Calibri"/>
        <family val="2"/>
        <charset val="162"/>
        <scheme val="minor"/>
      </rPr>
      <t>"</t>
    </r>
    <r>
      <rPr>
        <b/>
        <sz val="18"/>
        <color rgb="FF002060"/>
        <rFont val="Calibri"/>
        <family val="2"/>
        <charset val="162"/>
        <scheme val="minor"/>
      </rPr>
      <t>&lt;&gt;</t>
    </r>
    <r>
      <rPr>
        <b/>
        <sz val="18"/>
        <color rgb="FFFF0000"/>
        <rFont val="Calibri"/>
        <family val="2"/>
        <charset val="162"/>
        <scheme val="minor"/>
      </rPr>
      <t>"</t>
    </r>
    <r>
      <rPr>
        <b/>
        <sz val="18"/>
        <color rgb="FF002060"/>
        <rFont val="Calibri"/>
        <family val="2"/>
        <charset val="162"/>
        <scheme val="minor"/>
      </rPr>
      <t>&amp;</t>
    </r>
    <r>
      <rPr>
        <b/>
        <sz val="18"/>
        <color rgb="FFFF0000"/>
        <rFont val="Calibri"/>
        <family val="2"/>
        <charset val="162"/>
        <scheme val="minor"/>
      </rPr>
      <t>"</t>
    </r>
    <r>
      <rPr>
        <b/>
        <sz val="18"/>
        <color rgb="FF002060"/>
        <rFont val="Calibri"/>
        <family val="2"/>
        <charset val="162"/>
        <scheme val="minor"/>
      </rPr>
      <t>Evli</t>
    </r>
    <r>
      <rPr>
        <b/>
        <sz val="18"/>
        <color rgb="FFFF0000"/>
        <rFont val="Calibri"/>
        <family val="2"/>
        <charset val="162"/>
        <scheme val="minor"/>
      </rPr>
      <t>"</t>
    </r>
  </si>
  <si>
    <r>
      <rPr>
        <b/>
        <u/>
        <sz val="18"/>
        <color rgb="FF002060"/>
        <rFont val="Calibri"/>
        <family val="2"/>
        <charset val="162"/>
        <scheme val="minor"/>
      </rPr>
      <t>Verileri ve Koşulları birleştirir</t>
    </r>
    <r>
      <rPr>
        <b/>
        <u/>
        <sz val="16"/>
        <color rgb="FF002060"/>
        <rFont val="Calibri"/>
        <family val="2"/>
        <charset val="162"/>
        <scheme val="minor"/>
      </rPr>
      <t xml:space="preserve">
</t>
    </r>
    <r>
      <rPr>
        <b/>
        <sz val="16"/>
        <color rgb="FF002060"/>
        <rFont val="Calibri"/>
        <family val="2"/>
        <charset val="162"/>
        <scheme val="minor"/>
      </rPr>
      <t xml:space="preserve">
_ Koşul :  Koşul sembolleri çift tırnak içinde  ve &amp; işareti ile koşula bağlanır
Örnek : "&gt;="</t>
    </r>
    <r>
      <rPr>
        <b/>
        <sz val="16"/>
        <color rgb="FFFF0000"/>
        <rFont val="Calibri"/>
        <family val="2"/>
        <charset val="162"/>
        <scheme val="minor"/>
      </rPr>
      <t>&amp;</t>
    </r>
    <r>
      <rPr>
        <b/>
        <sz val="16"/>
        <color rgb="FF002060"/>
        <rFont val="Calibri"/>
        <family val="2"/>
        <charset val="162"/>
        <scheme val="minor"/>
      </rPr>
      <t>100</t>
    </r>
  </si>
  <si>
    <t>üst satırlardan ve , ara boşluklu</t>
  </si>
  <si>
    <t>Bütçe</t>
  </si>
  <si>
    <t>Fiili</t>
  </si>
  <si>
    <t>Belirteç Olarak 1 Kullanmaya Örnek</t>
  </si>
  <si>
    <t>ÖZET TABLO UYGULAMASI</t>
  </si>
  <si>
    <r>
      <t>Excellive Eğitimi</t>
    </r>
    <r>
      <rPr>
        <b/>
        <sz val="20"/>
        <color rgb="FFFFC000"/>
        <rFont val="Calibri"/>
        <family val="2"/>
        <charset val="162"/>
        <scheme val="minor"/>
      </rPr>
      <t xml:space="preserve"> </t>
    </r>
    <r>
      <rPr>
        <b/>
        <i/>
        <sz val="20"/>
        <color rgb="FFFFC000"/>
        <rFont val="Calibri"/>
        <family val="2"/>
        <charset val="162"/>
        <scheme val="minor"/>
      </rPr>
      <t>(Sayfalara hızlı erişim için tıklayınız)</t>
    </r>
  </si>
  <si>
    <t>tarih gösterim formatları</t>
  </si>
  <si>
    <t>Belirteç 1 kullanımı</t>
  </si>
  <si>
    <t>Başa Git</t>
  </si>
  <si>
    <t>belirteç 0</t>
  </si>
  <si>
    <t>belirteç 1</t>
  </si>
  <si>
    <r>
      <rPr>
        <b/>
        <u/>
        <sz val="24"/>
        <color theme="8" tint="-0.499984740745262"/>
        <rFont val="Calibri"/>
        <family val="2"/>
        <charset val="162"/>
        <scheme val="minor"/>
      </rPr>
      <t>Belirteç 1'in kesin doğru sonuç vermesi için;</t>
    </r>
    <r>
      <rPr>
        <b/>
        <sz val="24"/>
        <color theme="8" tint="-0.499984740745262"/>
        <rFont val="Calibri"/>
        <family val="2"/>
        <charset val="162"/>
        <scheme val="minor"/>
      </rPr>
      <t xml:space="preserve">
# Metinsel başlıklar, alfabetik olarak A'dan Z'ye
# Sayısal başlıklar, küçükten büyüğe doğru sıralanmış olmalıdır</t>
    </r>
  </si>
  <si>
    <r>
      <t xml:space="preserve">SATIŞ tutarları HEDEF tutarlardan fazla olan çalışanların bordo renk ve beyaz yazı ile gösterilmesi </t>
    </r>
    <r>
      <rPr>
        <b/>
        <sz val="24"/>
        <color rgb="FFFF0000"/>
        <rFont val="Calibri"/>
        <family val="2"/>
        <charset val="162"/>
        <scheme val="minor"/>
      </rPr>
      <t>=$D2&gt;$C2</t>
    </r>
  </si>
  <si>
    <r>
      <rPr>
        <b/>
        <sz val="22"/>
        <color rgb="FFFF0000"/>
        <rFont val="Calibri"/>
        <family val="2"/>
        <charset val="162"/>
        <scheme val="minor"/>
      </rPr>
      <t>VEYA</t>
    </r>
    <r>
      <rPr>
        <b/>
        <sz val="22"/>
        <color theme="3"/>
        <rFont val="Calibri"/>
        <family val="2"/>
        <charset val="162"/>
        <scheme val="minor"/>
      </rPr>
      <t xml:space="preserve"> : 
2 koşul farklı hücrelerde olabilir.  
</t>
    </r>
    <r>
      <rPr>
        <b/>
        <sz val="22"/>
        <color rgb="FFFF0000"/>
        <rFont val="Calibri"/>
        <family val="2"/>
        <charset val="162"/>
        <scheme val="minor"/>
      </rPr>
      <t>"Ya + Ya da" : "Kapsayıcı"</t>
    </r>
  </si>
  <si>
    <r>
      <t xml:space="preserve"># Simge </t>
    </r>
    <r>
      <rPr>
        <b/>
        <i/>
        <sz val="18"/>
        <color rgb="FFFF0000"/>
        <rFont val="Calibri"/>
        <family val="2"/>
        <charset val="162"/>
        <scheme val="minor"/>
      </rPr>
      <t>(koşullu biçimlendirme)</t>
    </r>
  </si>
  <si>
    <t>Ctrl -</t>
  </si>
  <si>
    <t>Ctrl +</t>
  </si>
  <si>
    <r>
      <t xml:space="preserve">ç </t>
    </r>
    <r>
      <rPr>
        <b/>
        <sz val="20"/>
        <color theme="9"/>
        <rFont val="Calibri"/>
        <family val="2"/>
        <charset val="162"/>
        <scheme val="minor"/>
      </rPr>
      <t>=  SATIŞ 750'YE EŞİTSE : Prim Var / Prim Yok</t>
    </r>
  </si>
  <si>
    <r>
      <t xml:space="preserve">ç </t>
    </r>
    <r>
      <rPr>
        <b/>
        <sz val="20"/>
        <color theme="4" tint="-0.249977111117893"/>
        <rFont val="Calibri"/>
        <family val="2"/>
        <charset val="162"/>
        <scheme val="minor"/>
      </rPr>
      <t>&gt; SATIŞ HEDEFTEN BÜYÜKSE: Prim Var / --</t>
    </r>
  </si>
  <si>
    <r>
      <t xml:space="preserve">ç </t>
    </r>
    <r>
      <rPr>
        <b/>
        <sz val="20"/>
        <color theme="7" tint="-0.499984740745262"/>
        <rFont val="Calibri"/>
        <family val="2"/>
        <charset val="162"/>
        <scheme val="minor"/>
      </rPr>
      <t>&lt; HEDEF SATIŞTAN KÜÇÜKSE: SATIŞ x % 10 / 0</t>
    </r>
  </si>
  <si>
    <r>
      <t xml:space="preserve">ç </t>
    </r>
    <r>
      <rPr>
        <b/>
        <sz val="20"/>
        <color rgb="FFFF0000"/>
        <rFont val="Calibri"/>
        <family val="2"/>
        <charset val="162"/>
        <scheme val="minor"/>
      </rPr>
      <t>&lt;&gt; SATIŞ 700'E EŞİT DEĞİLSE: 100 / 25</t>
    </r>
  </si>
  <si>
    <r>
      <t xml:space="preserve">ç </t>
    </r>
    <r>
      <rPr>
        <b/>
        <sz val="20"/>
        <color theme="5"/>
        <rFont val="Calibri"/>
        <family val="2"/>
        <charset val="162"/>
        <scheme val="minor"/>
      </rPr>
      <t>() SATIŞ HEDEFTEN 50 BÜYÜKSE: Prim Var / 0</t>
    </r>
  </si>
  <si>
    <t>Dönem Karşılaştırması</t>
  </si>
  <si>
    <t>Veri Etiketleri :
# Konum
# Etikete unsur ekleme
# Sayı biçimi</t>
  </si>
  <si>
    <t>Format değişikliği yapılırsa Hücre Biçimlendirmeleri sıfırlanır.</t>
  </si>
  <si>
    <t># Çizgi seçilir</t>
  </si>
  <si>
    <t># Veri Serilerini Biçimlendir</t>
  </si>
  <si>
    <t>Çizgi Biçimini Değiştirmek:</t>
  </si>
  <si>
    <t># Kova ikonu</t>
  </si>
  <si>
    <t># Renk
# Genişlik</t>
  </si>
  <si>
    <t>Pasta Dilimleri, Saat yönünde sıralanır</t>
  </si>
  <si>
    <t>Veri Etiketlerine % payı eklenebilir</t>
  </si>
  <si>
    <t xml:space="preserve">Unsurlar arası ; , . veya boşluk ayrılabilir veya alt satıra kaydırılabilir </t>
  </si>
  <si>
    <t>Satırları Sıralatma</t>
  </si>
  <si>
    <t>I</t>
  </si>
  <si>
    <t>J</t>
  </si>
  <si>
    <t>H</t>
  </si>
  <si>
    <t>K</t>
  </si>
  <si>
    <t>Gelir</t>
  </si>
  <si>
    <t>Maliyet</t>
  </si>
  <si>
    <t>İade</t>
  </si>
  <si>
    <t>Net Satış</t>
  </si>
  <si>
    <t>Kâr</t>
  </si>
  <si>
    <t>istemciye yerleştir ve aynı işlevselliği yerel bilgisayarda PRINT SCREEN'e basarak sağlayın)</t>
  </si>
  <si>
    <t>Ctrl F</t>
  </si>
  <si>
    <t>Verileri arama ekranını açar</t>
  </si>
  <si>
    <r>
      <t xml:space="preserve">Ctrl
</t>
    </r>
    <r>
      <rPr>
        <b/>
        <sz val="14"/>
        <color theme="1" tint="4.9989318521683403E-2"/>
        <rFont val="Verdana"/>
        <family val="2"/>
        <charset val="162"/>
      </rPr>
      <t>Page Down</t>
    </r>
  </si>
  <si>
    <t>F4</t>
  </si>
  <si>
    <r>
      <t xml:space="preserve">Sütun harfi ve Satır numarasının soluna $ işareti yazarak sabitler </t>
    </r>
    <r>
      <rPr>
        <b/>
        <sz val="14"/>
        <color rgb="FFFF0000"/>
        <rFont val="Verdana"/>
        <family val="2"/>
        <charset val="162"/>
      </rPr>
      <t>$A$1</t>
    </r>
  </si>
  <si>
    <r>
      <t xml:space="preserve"># </t>
    </r>
    <r>
      <rPr>
        <b/>
        <u/>
        <sz val="18"/>
        <color rgb="FFFF0000"/>
        <rFont val="Calibri"/>
        <family val="2"/>
        <charset val="162"/>
        <scheme val="minor"/>
      </rPr>
      <t>Başlar</t>
    </r>
    <r>
      <rPr>
        <b/>
        <sz val="18"/>
        <color rgb="FF002060"/>
        <rFont val="Calibri"/>
        <family val="2"/>
        <charset val="162"/>
        <scheme val="minor"/>
      </rPr>
      <t xml:space="preserve"> : Hücre aranan veri ile başlar ve sağında ne yazılı olduğu ve karakter sayısı farketmez </t>
    </r>
    <r>
      <rPr>
        <b/>
        <sz val="18"/>
        <color rgb="FFFF0000"/>
        <rFont val="Calibri"/>
        <family val="2"/>
        <charset val="162"/>
        <scheme val="minor"/>
      </rPr>
      <t>*</t>
    </r>
  </si>
  <si>
    <r>
      <t xml:space="preserve"># </t>
    </r>
    <r>
      <rPr>
        <b/>
        <u/>
        <sz val="18"/>
        <color rgb="FFFF0000"/>
        <rFont val="Calibri"/>
        <family val="2"/>
        <charset val="162"/>
        <scheme val="minor"/>
      </rPr>
      <t>Biter</t>
    </r>
    <r>
      <rPr>
        <b/>
        <sz val="18"/>
        <color rgb="FF002060"/>
        <rFont val="Calibri"/>
        <family val="2"/>
        <charset val="162"/>
        <scheme val="minor"/>
      </rPr>
      <t xml:space="preserve"> : Hücre aranan veri ile biter ve solunda ne yazılı olduğu ve karakter sayısı farketmez </t>
    </r>
    <r>
      <rPr>
        <b/>
        <sz val="18"/>
        <color rgb="FFFF0000"/>
        <rFont val="Calibri"/>
        <family val="2"/>
        <charset val="162"/>
        <scheme val="minor"/>
      </rPr>
      <t>*</t>
    </r>
  </si>
  <si>
    <r>
      <t xml:space="preserve"># </t>
    </r>
    <r>
      <rPr>
        <b/>
        <u/>
        <sz val="18"/>
        <color rgb="FFFF0000"/>
        <rFont val="Calibri"/>
        <family val="2"/>
        <charset val="162"/>
        <scheme val="minor"/>
      </rPr>
      <t>İçerir</t>
    </r>
    <r>
      <rPr>
        <b/>
        <sz val="18"/>
        <color rgb="FF002060"/>
        <rFont val="Calibri"/>
        <family val="2"/>
        <charset val="162"/>
        <scheme val="minor"/>
      </rPr>
      <t xml:space="preserve"> : Solunda ve sağında ne yazılı olduğu farketmeksizin, hücrenin içinde aranan verinin bulunması </t>
    </r>
    <r>
      <rPr>
        <b/>
        <sz val="18"/>
        <color rgb="FFFF0000"/>
        <rFont val="Calibri"/>
        <family val="2"/>
        <charset val="162"/>
        <scheme val="minor"/>
      </rPr>
      <t>*</t>
    </r>
  </si>
  <si>
    <r>
      <t xml:space="preserve"># </t>
    </r>
    <r>
      <rPr>
        <b/>
        <u/>
        <sz val="18"/>
        <color rgb="FFFF0000"/>
        <rFont val="Calibri"/>
        <family val="2"/>
        <charset val="162"/>
        <scheme val="minor"/>
      </rPr>
      <t>1 Karakter için</t>
    </r>
    <r>
      <rPr>
        <b/>
        <sz val="18"/>
        <color rgb="FF002060"/>
        <rFont val="Calibri"/>
        <family val="2"/>
        <charset val="162"/>
        <scheme val="minor"/>
      </rPr>
      <t xml:space="preserve"> : Alınmak istenen sonuçta bulunmasına gerek olmayan her karakter için </t>
    </r>
    <r>
      <rPr>
        <b/>
        <sz val="18"/>
        <color rgb="FFFF0000"/>
        <rFont val="Calibri"/>
        <family val="2"/>
        <charset val="162"/>
        <scheme val="minor"/>
      </rPr>
      <t>?</t>
    </r>
    <r>
      <rPr>
        <b/>
        <sz val="18"/>
        <color rgb="FF002060"/>
        <rFont val="Calibri"/>
        <family val="2"/>
        <charset val="162"/>
        <scheme val="minor"/>
      </rPr>
      <t xml:space="preserve"> Kullanılır</t>
    </r>
  </si>
  <si>
    <r>
      <t>Ü</t>
    </r>
    <r>
      <rPr>
        <b/>
        <sz val="28"/>
        <color rgb="FFFF0000"/>
        <rFont val="Calibri"/>
        <family val="2"/>
        <charset val="162"/>
        <scheme val="minor"/>
      </rPr>
      <t>?</t>
    </r>
    <r>
      <rPr>
        <b/>
        <sz val="28"/>
        <color rgb="FF002060"/>
        <rFont val="Calibri"/>
        <family val="2"/>
        <charset val="162"/>
        <scheme val="minor"/>
      </rPr>
      <t>ÜM</t>
    </r>
  </si>
  <si>
    <r>
      <rPr>
        <b/>
        <sz val="22"/>
        <color rgb="FFC00000"/>
        <rFont val="Calibri"/>
        <family val="2"/>
        <charset val="162"/>
        <scheme val="minor"/>
      </rPr>
      <t>4.</t>
    </r>
    <r>
      <rPr>
        <b/>
        <sz val="22"/>
        <color theme="1"/>
        <rFont val="Calibri"/>
        <family val="2"/>
        <charset val="162"/>
        <scheme val="minor"/>
      </rPr>
      <t xml:space="preserve"> 200'den büyük, 1.000 den küçük olanlar </t>
    </r>
    <r>
      <rPr>
        <b/>
        <sz val="20"/>
        <color rgb="FFFF0000"/>
        <rFont val="Calibri"/>
        <family val="2"/>
        <charset val="162"/>
        <scheme val="minor"/>
      </rPr>
      <t>(VE)</t>
    </r>
  </si>
  <si>
    <t>Önce SIRALAMA yapılacak ALAN başlık satırı ile birlikte seçilir</t>
  </si>
  <si>
    <t>Dolgu Rengi, Yazı Rengi ve Simge türüne göre sıralamada Üstte/Altta olma seçeneğini sunar</t>
  </si>
  <si>
    <t>1'den fazla SIRALAMA seçeneği belirlenebilir ve sıralama ölçütlerinin sıralama önceliği değiştirilebilir</t>
  </si>
  <si>
    <t>Üst menülere dağılmış sekmelerden en çok gerekenlerin kolay kullanılmasını sağlamak için oluşturulan ikon menüsüdür.</t>
  </si>
  <si>
    <t># Menüde yer alması istenen ikonlar "Ekle" düğmesi ile seçilir.</t>
  </si>
  <si>
    <t># Menüde yer alan ama çıkarılmak istenenler ise "Kaldır" düğmesi ile liste kapsamından çıkarılır.</t>
  </si>
  <si>
    <t># Hızlı Erişim Çubuğu; ya ekranın en üstünde ya da Menü satırının altında gösterilebilir.</t>
  </si>
  <si>
    <t># "Sıfırla" oluşturulmuş Hızlı Erişim Çubuğuna sonradan eklenen ikonlarını siler, sadece "Kaydet-Geri Al-Yinele" ikonlarını bırakır.</t>
  </si>
  <si>
    <t># Menülerde yer almayan bazı işlevler örneğin "Veri Giriş Formu" gibi Hızlı Araç Çubuğuna eklenebilir.</t>
  </si>
  <si>
    <t># Hızlı Araç Çubuğu oluşum ekranında ikonların soldan sağa doğru yerleri oklar yardımıyla düzenleebilir.</t>
  </si>
  <si>
    <r>
      <t xml:space="preserve"># Menüler &amp; Sekmeler &amp; Hızlı Araç Çubuğunun 
yerleşimi 3 türlü ayarlanabilir </t>
    </r>
    <r>
      <rPr>
        <b/>
        <i/>
        <sz val="14"/>
        <color rgb="FF002060"/>
        <rFont val="Calibri"/>
        <family val="2"/>
        <charset val="162"/>
        <scheme val="minor"/>
      </rPr>
      <t>(ekranın sağ üst köşesinde)</t>
    </r>
    <r>
      <rPr>
        <b/>
        <sz val="16"/>
        <color rgb="FF002060"/>
        <rFont val="Calibri"/>
        <family val="2"/>
        <charset val="204"/>
        <scheme val="minor"/>
      </rPr>
      <t xml:space="preserve">
- </t>
    </r>
    <r>
      <rPr>
        <b/>
        <u/>
        <sz val="16"/>
        <color rgb="FFFF0000"/>
        <rFont val="Calibri"/>
        <family val="2"/>
        <charset val="162"/>
        <scheme val="minor"/>
      </rPr>
      <t>Şeridi Otomatik Gizle</t>
    </r>
    <r>
      <rPr>
        <b/>
        <sz val="16"/>
        <color rgb="FF002060"/>
        <rFont val="Calibri"/>
        <family val="2"/>
        <charset val="204"/>
        <scheme val="minor"/>
      </rPr>
      <t xml:space="preserve"> : Sekmeleri ve Hızlı Erişim Çubuğunu gizler
-</t>
    </r>
    <r>
      <rPr>
        <b/>
        <u/>
        <sz val="16"/>
        <color rgb="FFFF0000"/>
        <rFont val="Calibri"/>
        <family val="2"/>
        <charset val="162"/>
        <scheme val="minor"/>
      </rPr>
      <t xml:space="preserve"> Sekmeleri Göster</t>
    </r>
    <r>
      <rPr>
        <b/>
        <sz val="16"/>
        <color rgb="FF002060"/>
        <rFont val="Calibri"/>
        <family val="2"/>
        <charset val="204"/>
        <scheme val="minor"/>
      </rPr>
      <t xml:space="preserve"> : Sekmeleri gizler, Hızlı Erişim Çubuğunu gösterir
- </t>
    </r>
    <r>
      <rPr>
        <b/>
        <u/>
        <sz val="16"/>
        <color rgb="FFFF0000"/>
        <rFont val="Calibri"/>
        <family val="2"/>
        <charset val="162"/>
        <scheme val="minor"/>
      </rPr>
      <t>Sekmeleri ve Komutları Göster</t>
    </r>
    <r>
      <rPr>
        <b/>
        <sz val="16"/>
        <color rgb="FF002060"/>
        <rFont val="Calibri"/>
        <family val="2"/>
        <charset val="204"/>
        <scheme val="minor"/>
      </rPr>
      <t xml:space="preserve"> : Sekmeleri ve Hızlı Erişim Çubuğunu birlikte gösterir</t>
    </r>
  </si>
  <si>
    <r>
      <rPr>
        <b/>
        <sz val="14"/>
        <color rgb="FF002060"/>
        <rFont val="Calibri"/>
        <family val="2"/>
        <charset val="162"/>
        <scheme val="minor"/>
      </rPr>
      <t>Dikey Eksen Sayı aralığı değiştirme</t>
    </r>
    <r>
      <rPr>
        <b/>
        <sz val="18"/>
        <color rgb="FF002060"/>
        <rFont val="Calibri"/>
        <family val="2"/>
        <charset val="204"/>
        <scheme val="minor"/>
      </rPr>
      <t xml:space="preserve"> </t>
    </r>
    <r>
      <rPr>
        <b/>
        <sz val="14"/>
        <color rgb="FFFF0000"/>
        <rFont val="Calibri"/>
        <family val="2"/>
        <charset val="162"/>
        <scheme val="minor"/>
      </rPr>
      <t>(sağ klik)</t>
    </r>
    <r>
      <rPr>
        <b/>
        <sz val="18"/>
        <color rgb="FF002060"/>
        <rFont val="Calibri"/>
        <family val="2"/>
        <charset val="204"/>
        <scheme val="minor"/>
      </rPr>
      <t xml:space="preserve"> &gt; Ekseni Biçimlendir &gt; 
Birim &gt; Birincil</t>
    </r>
  </si>
  <si>
    <r>
      <rPr>
        <b/>
        <sz val="16"/>
        <color rgb="FF002060"/>
        <rFont val="Calibri"/>
        <family val="2"/>
        <charset val="162"/>
        <scheme val="minor"/>
      </rPr>
      <t xml:space="preserve">Etiketi Şekil içine almak </t>
    </r>
    <r>
      <rPr>
        <b/>
        <sz val="12"/>
        <color rgb="FFFF0000"/>
        <rFont val="Calibri"/>
        <family val="2"/>
        <charset val="162"/>
        <scheme val="minor"/>
      </rPr>
      <t>(sağ klik)</t>
    </r>
    <r>
      <rPr>
        <b/>
        <sz val="18"/>
        <color rgb="FF002060"/>
        <rFont val="Calibri"/>
        <family val="2"/>
        <charset val="204"/>
        <scheme val="minor"/>
      </rPr>
      <t xml:space="preserve"> </t>
    </r>
    <r>
      <rPr>
        <b/>
        <sz val="16"/>
        <color rgb="FF002060"/>
        <rFont val="Calibri"/>
        <family val="2"/>
        <charset val="162"/>
        <scheme val="minor"/>
      </rPr>
      <t>Veri Etiketini Şekillerini Değiştir</t>
    </r>
  </si>
  <si>
    <t xml:space="preserve">Başlığı hücreden oluşturmak </t>
  </si>
  <si>
    <t>2 koşul</t>
  </si>
  <si>
    <t>4 Koşul</t>
  </si>
  <si>
    <t>=ÇOKETOPLA($G$2:$G$21;$D$2:$D$21;$I2;$F$2:$F$21;K$1;$E$2:$E$21;$K$9;$G$2:$G$21;$M$10&amp;$K$10)</t>
  </si>
  <si>
    <t>3 koşul</t>
  </si>
  <si>
    <t>Eğitim durumuna göre</t>
  </si>
  <si>
    <t>Bölüme göre</t>
  </si>
  <si>
    <t>Cinsiyet türüne göre</t>
  </si>
  <si>
    <t>M10'daki koşul türü ve K10'daki koşula göre</t>
  </si>
  <si>
    <t>=ÇOKETOPLA($G$2:$G$21;$D$2:$D$21;$I2;$F$2:$F$21;K$1)</t>
  </si>
  <si>
    <t>K2 hücresine yazılacak formüller:</t>
  </si>
  <si>
    <t>X</t>
  </si>
  <si>
    <t>Cins.</t>
  </si>
  <si>
    <t>=ÇOKETOPLA($G$2:$G$21;$D$2:$D$21;$I2;$F$2:$F$21;K$1;$E$2:$E$21;$K$9)</t>
  </si>
  <si>
    <t>TARİH (BUGÜN-ŞİMDİ-GÜN-AY-YIL-TARİH)</t>
  </si>
  <si>
    <t>HARF (YAZIM.DÜZENİ-BÜYÜKHARF-KÜÇÜKHARF-BİRLEŞTİR)</t>
  </si>
  <si>
    <t>SAYI (MİN-MAK-BÜYÜK-KÜÇÜK)</t>
  </si>
  <si>
    <r>
      <t xml:space="preserve">Sebze </t>
    </r>
    <r>
      <rPr>
        <b/>
        <sz val="28"/>
        <color rgb="FF7030A0"/>
        <rFont val="Calibri"/>
        <family val="2"/>
        <charset val="204"/>
        <scheme val="minor"/>
      </rPr>
      <t>Å</t>
    </r>
  </si>
  <si>
    <t>Tropik</t>
  </si>
  <si>
    <t>Ananas</t>
  </si>
  <si>
    <t>Koli</t>
  </si>
  <si>
    <t>Hacim</t>
  </si>
  <si>
    <r>
      <rPr>
        <b/>
        <i/>
        <sz val="24"/>
        <color theme="1"/>
        <rFont val="Calibri"/>
        <family val="2"/>
        <charset val="162"/>
        <scheme val="minor"/>
      </rPr>
      <t xml:space="preserve">Şubesi "Cadde" olanların yazı rengi lacivert, hücre fon rengi yeşil ve eğik yazı ile gösterilmesi </t>
    </r>
    <r>
      <rPr>
        <b/>
        <i/>
        <sz val="24"/>
        <color theme="5" tint="-0.499984740745262"/>
        <rFont val="Calibri"/>
        <family val="2"/>
        <charset val="162"/>
        <scheme val="minor"/>
      </rPr>
      <t xml:space="preserve">
</t>
    </r>
    <r>
      <rPr>
        <b/>
        <i/>
        <sz val="24"/>
        <color rgb="FFFF0000"/>
        <rFont val="Calibri"/>
        <family val="2"/>
        <charset val="162"/>
        <scheme val="minor"/>
      </rPr>
      <t>=$J2=$G$10</t>
    </r>
  </si>
  <si>
    <t>&lt;= 21:00</t>
  </si>
  <si>
    <t>&gt;= 17:00</t>
  </si>
  <si>
    <r>
      <t xml:space="preserve">    ActiveWorkbook.SaveAs Filename:="</t>
    </r>
    <r>
      <rPr>
        <b/>
        <sz val="11"/>
        <color rgb="FFFF0000"/>
        <rFont val="Verdana"/>
        <family val="2"/>
        <charset val="162"/>
      </rPr>
      <t>C:\Users\kullanici\YEDEK\</t>
    </r>
    <r>
      <rPr>
        <b/>
        <sz val="11"/>
        <color rgb="FF00B050"/>
        <rFont val="Verdana"/>
        <family val="2"/>
        <charset val="162"/>
      </rPr>
      <t>EXCEL SIZE EGITIM DOSYASI.xlsm</t>
    </r>
    <r>
      <rPr>
        <b/>
        <sz val="11"/>
        <color rgb="FF002060"/>
        <rFont val="Verdana"/>
        <family val="2"/>
        <charset val="162"/>
      </rPr>
      <t>", _</t>
    </r>
  </si>
  <si>
    <t>Dosya açılınca seçilecek sayfa</t>
  </si>
  <si>
    <t>Adana 1</t>
  </si>
  <si>
    <t>Adana 2</t>
  </si>
  <si>
    <t>Adana 3</t>
  </si>
  <si>
    <t>Adana 4</t>
  </si>
  <si>
    <t>Adana 5</t>
  </si>
  <si>
    <t>Adana 6</t>
  </si>
  <si>
    <r>
      <t xml:space="preserve">elma </t>
    </r>
    <r>
      <rPr>
        <b/>
        <sz val="28"/>
        <color theme="5"/>
        <rFont val="Calibri"/>
        <family val="2"/>
        <charset val="162"/>
        <scheme val="minor"/>
      </rPr>
      <t>*****</t>
    </r>
  </si>
  <si>
    <t>Ara</t>
  </si>
  <si>
    <t>Şeftali</t>
  </si>
  <si>
    <t>Üzüm</t>
  </si>
  <si>
    <t>Türü</t>
  </si>
  <si>
    <t>İthal</t>
  </si>
  <si>
    <t>13) Yazdır - Açıklamalar : Sayfada görüntülendiği gibi</t>
  </si>
  <si>
    <t>Alt 0126</t>
  </si>
  <si>
    <r>
      <rPr>
        <b/>
        <sz val="26"/>
        <color rgb="FFFF0000"/>
        <rFont val="Verdana"/>
        <family val="2"/>
        <charset val="162"/>
      </rPr>
      <t>~</t>
    </r>
    <r>
      <rPr>
        <b/>
        <sz val="16"/>
        <color theme="1" tint="4.9989318521683403E-2"/>
        <rFont val="Verdana"/>
        <family val="2"/>
        <charset val="162"/>
      </rPr>
      <t xml:space="preserve">   </t>
    </r>
    <r>
      <rPr>
        <b/>
        <i/>
        <sz val="12"/>
        <color theme="1" tint="4.9989318521683403E-2"/>
        <rFont val="Verdana"/>
        <family val="2"/>
        <charset val="162"/>
      </rPr>
      <t>(yaklaşık sembolü  Tilde)</t>
    </r>
    <r>
      <rPr>
        <b/>
        <sz val="16"/>
        <color theme="1" tint="4.9989318521683403E-2"/>
        <rFont val="Verdana"/>
        <family val="2"/>
        <charset val="162"/>
      </rPr>
      <t xml:space="preserve"> </t>
    </r>
    <r>
      <rPr>
        <b/>
        <sz val="14"/>
        <color theme="1" tint="4.9989318521683403E-2"/>
        <rFont val="Verdana"/>
        <family val="2"/>
        <charset val="162"/>
      </rPr>
      <t>veya</t>
    </r>
    <r>
      <rPr>
        <b/>
        <sz val="16"/>
        <color theme="1" tint="4.9989318521683403E-2"/>
        <rFont val="Verdana"/>
        <family val="2"/>
        <charset val="162"/>
      </rPr>
      <t xml:space="preserve"> </t>
    </r>
    <r>
      <rPr>
        <b/>
        <sz val="16"/>
        <color rgb="FF00B050"/>
        <rFont val="Verdana"/>
        <family val="2"/>
        <charset val="162"/>
      </rPr>
      <t>AltGr Ü</t>
    </r>
  </si>
  <si>
    <t>* *</t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</si>
  <si>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204"/>
        <scheme val="minor"/>
      </rPr>
      <t>D</t>
    </r>
    <r>
      <rPr>
        <b/>
        <sz val="28"/>
        <color rgb="FFC00000"/>
        <rFont val="Calibri"/>
        <family val="2"/>
        <charset val="162"/>
        <scheme val="minor"/>
      </rPr>
      <t>E</t>
    </r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</si>
  <si>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204"/>
        <scheme val="minor"/>
      </rPr>
      <t>K</t>
    </r>
    <r>
      <rPr>
        <b/>
        <sz val="28"/>
        <color rgb="FFC00000"/>
        <rFont val="Calibri"/>
        <family val="2"/>
        <charset val="162"/>
        <scheme val="minor"/>
      </rPr>
      <t>E</t>
    </r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</si>
  <si>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162"/>
        <scheme val="minor"/>
      </rPr>
      <t>R</t>
    </r>
    <r>
      <rPr>
        <b/>
        <sz val="28"/>
        <color rgb="FF00B050"/>
        <rFont val="Calibri"/>
        <family val="2"/>
        <charset val="162"/>
        <scheme val="minor"/>
      </rPr>
      <t>EL</t>
    </r>
    <r>
      <rPr>
        <b/>
        <sz val="28"/>
        <color theme="1"/>
        <rFont val="Calibri"/>
        <family val="2"/>
        <charset val="204"/>
        <scheme val="minor"/>
      </rPr>
      <t>Lİ</t>
    </r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</si>
  <si>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theme="1"/>
        <rFont val="Calibri"/>
        <family val="2"/>
        <charset val="162"/>
        <scheme val="minor"/>
      </rPr>
      <t>L</t>
    </r>
    <r>
      <rPr>
        <b/>
        <sz val="28"/>
        <color rgb="FF00B050"/>
        <rFont val="Calibri"/>
        <family val="2"/>
        <charset val="204"/>
        <scheme val="minor"/>
      </rPr>
      <t>E</t>
    </r>
    <r>
      <rPr>
        <b/>
        <sz val="28"/>
        <color rgb="FF00B050"/>
        <rFont val="Calibri"/>
        <family val="2"/>
        <charset val="162"/>
        <scheme val="minor"/>
      </rPr>
      <t>L</t>
    </r>
    <r>
      <rPr>
        <b/>
        <sz val="28"/>
        <color theme="1"/>
        <rFont val="Calibri"/>
        <family val="2"/>
        <charset val="204"/>
        <scheme val="minor"/>
      </rPr>
      <t>İ ETEK</t>
    </r>
  </si>
  <si>
    <r>
      <t>KA</t>
    </r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rFont val="Calibri"/>
        <family val="2"/>
        <charset val="162"/>
        <scheme val="minor"/>
      </rPr>
      <t>TON</t>
    </r>
    <r>
      <rPr>
        <b/>
        <sz val="28"/>
        <color rgb="FFC00000"/>
        <rFont val="Calibri"/>
        <family val="2"/>
        <charset val="162"/>
        <scheme val="minor"/>
      </rPr>
      <t>E</t>
    </r>
  </si>
  <si>
    <r>
      <rPr>
        <b/>
        <sz val="28"/>
        <color rgb="FFFF0000"/>
        <rFont val="Calibri"/>
        <family val="2"/>
        <charset val="204"/>
        <scheme val="minor"/>
      </rPr>
      <t>Pİ</t>
    </r>
    <r>
      <rPr>
        <b/>
        <sz val="28"/>
        <color rgb="FF0070C0"/>
        <rFont val="Calibri"/>
        <family val="2"/>
        <charset val="162"/>
        <scheme val="minor"/>
      </rPr>
      <t>L</t>
    </r>
    <r>
      <rPr>
        <b/>
        <sz val="28"/>
        <color rgb="FFC00000"/>
        <rFont val="Calibri"/>
        <family val="2"/>
        <charset val="162"/>
        <scheme val="minor"/>
      </rPr>
      <t>E</t>
    </r>
  </si>
  <si>
    <r>
      <rPr>
        <b/>
        <sz val="24"/>
        <color rgb="FFFF0000"/>
        <rFont val="Calibri"/>
        <family val="2"/>
        <charset val="162"/>
        <scheme val="minor"/>
      </rPr>
      <t>Pİ</t>
    </r>
    <r>
      <rPr>
        <b/>
        <sz val="24"/>
        <color theme="4" tint="-0.249977111117893"/>
        <rFont val="Calibri"/>
        <family val="2"/>
        <charset val="162"/>
        <scheme val="minor"/>
      </rPr>
      <t xml:space="preserve"> </t>
    </r>
    <r>
      <rPr>
        <b/>
        <sz val="24"/>
        <color theme="1"/>
        <rFont val="Calibri"/>
        <family val="2"/>
        <charset val="162"/>
        <scheme val="minor"/>
      </rPr>
      <t>ile başlayanlar</t>
    </r>
  </si>
  <si>
    <r>
      <rPr>
        <b/>
        <sz val="24"/>
        <color rgb="FFC00000"/>
        <rFont val="Calibri"/>
        <family val="2"/>
        <charset val="162"/>
        <scheme val="minor"/>
      </rPr>
      <t>E</t>
    </r>
    <r>
      <rPr>
        <b/>
        <sz val="24"/>
        <color theme="1"/>
        <rFont val="Calibri"/>
        <family val="2"/>
        <charset val="162"/>
        <scheme val="minor"/>
      </rPr>
      <t xml:space="preserve"> ile bitenler</t>
    </r>
  </si>
  <si>
    <r>
      <rPr>
        <b/>
        <sz val="22"/>
        <color theme="1"/>
        <rFont val="Calibri"/>
        <family val="2"/>
        <charset val="162"/>
        <scheme val="minor"/>
      </rPr>
      <t>içinde</t>
    </r>
    <r>
      <rPr>
        <b/>
        <sz val="22"/>
        <color theme="4" tint="-0.249977111117893"/>
        <rFont val="Calibri"/>
        <family val="2"/>
        <charset val="162"/>
        <scheme val="minor"/>
      </rPr>
      <t xml:space="preserve"> </t>
    </r>
    <r>
      <rPr>
        <b/>
        <sz val="22"/>
        <color rgb="FF00B050"/>
        <rFont val="Calibri"/>
        <family val="2"/>
        <charset val="162"/>
        <scheme val="minor"/>
      </rPr>
      <t>EL</t>
    </r>
    <r>
      <rPr>
        <b/>
        <sz val="22"/>
        <color theme="0"/>
        <rFont val="Calibri"/>
        <family val="2"/>
        <charset val="162"/>
        <scheme val="minor"/>
      </rPr>
      <t xml:space="preserve"> </t>
    </r>
    <r>
      <rPr>
        <b/>
        <sz val="22"/>
        <color theme="1"/>
        <rFont val="Calibri"/>
        <family val="2"/>
        <charset val="162"/>
        <scheme val="minor"/>
      </rPr>
      <t>yazılı olan veriler</t>
    </r>
  </si>
  <si>
    <r>
      <rPr>
        <b/>
        <sz val="22"/>
        <color theme="1"/>
        <rFont val="Calibri"/>
        <family val="2"/>
        <charset val="162"/>
        <scheme val="minor"/>
      </rPr>
      <t>3.karakteri</t>
    </r>
    <r>
      <rPr>
        <b/>
        <sz val="22"/>
        <color theme="4" tint="-0.249977111117893"/>
        <rFont val="Calibri"/>
        <family val="2"/>
        <charset val="162"/>
        <scheme val="minor"/>
      </rPr>
      <t xml:space="preserve"> </t>
    </r>
    <r>
      <rPr>
        <b/>
        <sz val="22"/>
        <color rgb="FF0070C0"/>
        <rFont val="Calibri"/>
        <family val="2"/>
        <charset val="162"/>
        <scheme val="minor"/>
      </rPr>
      <t>L</t>
    </r>
    <r>
      <rPr>
        <b/>
        <sz val="22"/>
        <color theme="1"/>
        <rFont val="Calibri"/>
        <family val="2"/>
        <charset val="162"/>
        <scheme val="minor"/>
      </rPr>
      <t xml:space="preserve"> olan, 4 harfli veriler</t>
    </r>
  </si>
  <si>
    <r>
      <rPr>
        <b/>
        <sz val="22"/>
        <color theme="1"/>
        <rFont val="Calibri"/>
        <family val="2"/>
        <charset val="162"/>
        <scheme val="minor"/>
      </rPr>
      <t xml:space="preserve">Ürün tanımında </t>
    </r>
    <r>
      <rPr>
        <b/>
        <sz val="22"/>
        <color rgb="FFFF0000"/>
        <rFont val="Calibri"/>
        <family val="2"/>
        <charset val="162"/>
        <scheme val="minor"/>
      </rPr>
      <t>PİL</t>
    </r>
    <r>
      <rPr>
        <b/>
        <sz val="22"/>
        <color theme="0"/>
        <rFont val="Calibri"/>
        <family val="2"/>
        <charset val="162"/>
        <scheme val="minor"/>
      </rPr>
      <t xml:space="preserve"> </t>
    </r>
    <r>
      <rPr>
        <b/>
        <sz val="22"/>
        <color theme="1"/>
        <rFont val="Calibri"/>
        <family val="2"/>
        <charset val="162"/>
        <scheme val="minor"/>
      </rPr>
      <t>içermeyenler</t>
    </r>
  </si>
  <si>
    <r>
      <rPr>
        <b/>
        <sz val="22"/>
        <color rgb="FFFF0000"/>
        <rFont val="Calibri"/>
        <family val="2"/>
        <charset val="162"/>
        <scheme val="minor"/>
      </rPr>
      <t>35</t>
    </r>
    <r>
      <rPr>
        <b/>
        <sz val="22"/>
        <color theme="1"/>
        <rFont val="Calibri"/>
        <family val="2"/>
        <charset val="162"/>
        <scheme val="minor"/>
      </rPr>
      <t>'den az olanların sayısı</t>
    </r>
  </si>
  <si>
    <r>
      <rPr>
        <b/>
        <sz val="22"/>
        <color rgb="FFFF0000"/>
        <rFont val="Calibri"/>
        <family val="2"/>
        <charset val="162"/>
        <scheme val="minor"/>
      </rPr>
      <t>Pİ</t>
    </r>
    <r>
      <rPr>
        <b/>
        <sz val="22"/>
        <color theme="0"/>
        <rFont val="Calibri"/>
        <family val="2"/>
        <charset val="162"/>
        <scheme val="minor"/>
      </rPr>
      <t xml:space="preserve"> </t>
    </r>
    <r>
      <rPr>
        <b/>
        <sz val="22"/>
        <color theme="1"/>
        <rFont val="Calibri"/>
        <family val="2"/>
        <charset val="162"/>
        <scheme val="minor"/>
      </rPr>
      <t xml:space="preserve">ile başlayanlar ile </t>
    </r>
    <r>
      <rPr>
        <b/>
        <sz val="22"/>
        <color rgb="FFFF0000"/>
        <rFont val="Calibri"/>
        <family val="2"/>
        <charset val="162"/>
        <scheme val="minor"/>
      </rPr>
      <t>30</t>
    </r>
    <r>
      <rPr>
        <b/>
        <sz val="22"/>
        <color theme="0"/>
        <rFont val="Calibri"/>
        <family val="2"/>
        <charset val="162"/>
        <scheme val="minor"/>
      </rPr>
      <t xml:space="preserve"> </t>
    </r>
    <r>
      <rPr>
        <b/>
        <sz val="22"/>
        <color theme="1"/>
        <rFont val="Calibri"/>
        <family val="2"/>
        <charset val="162"/>
        <scheme val="minor"/>
      </rPr>
      <t>adet ve fazla olanlar</t>
    </r>
  </si>
  <si>
    <t>Bayern Münih</t>
  </si>
  <si>
    <t>Almanya</t>
  </si>
  <si>
    <t>Liverpool</t>
  </si>
  <si>
    <t>Real Madrid</t>
  </si>
  <si>
    <t>İngiltere</t>
  </si>
  <si>
    <t>İspanya</t>
  </si>
  <si>
    <t>Barcelona</t>
  </si>
  <si>
    <t>Chelsea</t>
  </si>
  <si>
    <t>Mağaza</t>
  </si>
  <si>
    <t>Erik</t>
  </si>
  <si>
    <t>Kayısı</t>
  </si>
  <si>
    <r>
      <rPr>
        <b/>
        <sz val="28"/>
        <color rgb="FFC00000"/>
        <rFont val="Calibri"/>
        <family val="2"/>
        <charset val="162"/>
        <scheme val="minor"/>
      </rPr>
      <t>Meyve</t>
    </r>
    <r>
      <rPr>
        <b/>
        <sz val="28"/>
        <color rgb="FFFF0000"/>
        <rFont val="Calibri"/>
        <family val="2"/>
        <charset val="204"/>
        <scheme val="minor"/>
      </rPr>
      <t xml:space="preserve"> </t>
    </r>
    <r>
      <rPr>
        <b/>
        <sz val="28"/>
        <color rgb="FF7030A0"/>
        <rFont val="Calibri"/>
        <family val="2"/>
        <charset val="204"/>
        <scheme val="minor"/>
      </rPr>
      <t>¿</t>
    </r>
  </si>
  <si>
    <t>Siyah</t>
  </si>
  <si>
    <r>
      <rPr>
        <b/>
        <sz val="26"/>
        <color rgb="FFFF0000"/>
        <rFont val="Calibri"/>
        <family val="2"/>
        <charset val="162"/>
        <scheme val="minor"/>
      </rPr>
      <t>*</t>
    </r>
    <r>
      <rPr>
        <b/>
        <sz val="26"/>
        <color theme="1"/>
        <rFont val="Calibri"/>
        <family val="2"/>
        <charset val="162"/>
        <scheme val="minor"/>
      </rPr>
      <t xml:space="preserve">'ları silmek için : Aranan kısmına </t>
    </r>
    <r>
      <rPr>
        <b/>
        <sz val="36"/>
        <color rgb="FFFF0000"/>
        <rFont val="Calibri"/>
        <family val="2"/>
        <charset val="162"/>
        <scheme val="minor"/>
      </rPr>
      <t>~*</t>
    </r>
    <r>
      <rPr>
        <b/>
        <sz val="26"/>
        <color theme="1"/>
        <rFont val="Calibri"/>
        <family val="2"/>
        <charset val="162"/>
        <scheme val="minor"/>
      </rPr>
      <t xml:space="preserve"> yazılır (</t>
    </r>
    <r>
      <rPr>
        <b/>
        <sz val="26"/>
        <color rgb="FFFF0000"/>
        <rFont val="Calibri"/>
        <family val="2"/>
        <charset val="162"/>
        <scheme val="minor"/>
      </rPr>
      <t>~</t>
    </r>
    <r>
      <rPr>
        <b/>
        <sz val="26"/>
        <color theme="1"/>
        <rFont val="Calibri"/>
        <family val="2"/>
        <charset val="162"/>
        <scheme val="minor"/>
      </rPr>
      <t xml:space="preserve"> : </t>
    </r>
    <r>
      <rPr>
        <b/>
        <sz val="26"/>
        <color rgb="FFFF0000"/>
        <rFont val="Calibri"/>
        <family val="2"/>
        <charset val="162"/>
        <scheme val="minor"/>
      </rPr>
      <t>Alt 0126</t>
    </r>
    <r>
      <rPr>
        <b/>
        <sz val="26"/>
        <color theme="1"/>
        <rFont val="Calibri"/>
        <family val="2"/>
        <charset val="162"/>
        <scheme val="minor"/>
      </rPr>
      <t>)</t>
    </r>
  </si>
  <si>
    <t>2'den fazla hücre seçilirse; bulma/değiştirme sadece o alanda olur</t>
  </si>
  <si>
    <t>Son Takvim Günü</t>
  </si>
  <si>
    <t>1 Ay sonrası</t>
  </si>
  <si>
    <r>
      <t xml:space="preserve">Kaç İş Günü </t>
    </r>
    <r>
      <rPr>
        <b/>
        <sz val="16"/>
        <color theme="0"/>
        <rFont val="Verdana"/>
        <family val="2"/>
        <charset val="162"/>
      </rPr>
      <t>(başlangıç ve bitiş dahil)</t>
    </r>
  </si>
  <si>
    <t>Haftanın Hangi Günü</t>
  </si>
  <si>
    <t>Hafta №</t>
  </si>
  <si>
    <t>52 hafta = 364 gün</t>
  </si>
  <si>
    <t>1 yıl = 53 hafta №</t>
  </si>
  <si>
    <t>2012 = 54 hafta №</t>
  </si>
  <si>
    <t>Koli adedi</t>
  </si>
  <si>
    <t>Sevk Saati</t>
  </si>
  <si>
    <t>Veri</t>
  </si>
  <si>
    <r>
      <t xml:space="preserve">Hata </t>
    </r>
    <r>
      <rPr>
        <b/>
        <sz val="12"/>
        <color rgb="FFFFFFFF"/>
        <rFont val="Verdana"/>
        <family val="2"/>
        <charset val="162"/>
      </rPr>
      <t>Uyarısı</t>
    </r>
  </si>
  <si>
    <t>Ürün Tanımı</t>
  </si>
  <si>
    <t>paket</t>
  </si>
  <si>
    <t>Ürün Grubu</t>
  </si>
  <si>
    <t>Sevk Tarihi</t>
  </si>
  <si>
    <t>Kitap Adı en az 5, en fazla 20 karakter olabilir</t>
  </si>
  <si>
    <t>Koli hacmi, adede göre K2:L4 alanında belirtilen ölçülere uygun olmalıdır</t>
  </si>
  <si>
    <t>= yarın</t>
  </si>
  <si>
    <t>Koli adedi 
1, 2, 3 olabilir</t>
  </si>
  <si>
    <t>Satır Etiketleri</t>
  </si>
  <si>
    <t>Genel Toplam</t>
  </si>
  <si>
    <t>Toplam Maaş</t>
  </si>
  <si>
    <t>(Tümü)</t>
  </si>
  <si>
    <t xml:space="preserve">
</t>
  </si>
  <si>
    <r>
      <rPr>
        <b/>
        <sz val="22"/>
        <color rgb="FFC00000"/>
        <rFont val="Calibri"/>
        <family val="2"/>
        <charset val="162"/>
        <scheme val="minor"/>
      </rPr>
      <t>5.</t>
    </r>
    <r>
      <rPr>
        <b/>
        <sz val="22"/>
        <color theme="1"/>
        <rFont val="Calibri"/>
        <family val="2"/>
        <charset val="162"/>
        <scheme val="minor"/>
      </rPr>
      <t xml:space="preserve"> ÜZÜM ile başlayan, iri ile bitmeyen </t>
    </r>
    <r>
      <rPr>
        <b/>
        <sz val="22"/>
        <color rgb="FFFF0000"/>
        <rFont val="Calibri"/>
        <family val="2"/>
        <charset val="162"/>
        <scheme val="minor"/>
      </rPr>
      <t>(VE)</t>
    </r>
  </si>
  <si>
    <r>
      <t>SIRALAMA soldan sağa doğru yapılmak istenirse Özel Sıralama menüsü içindeki "</t>
    </r>
    <r>
      <rPr>
        <b/>
        <sz val="22"/>
        <color rgb="FFC00000"/>
        <rFont val="Calibri"/>
        <family val="2"/>
        <charset val="162"/>
        <scheme val="minor"/>
      </rPr>
      <t>SEÇENEKLER"</t>
    </r>
    <r>
      <rPr>
        <b/>
        <sz val="22"/>
        <color rgb="FF002060"/>
        <rFont val="Calibri"/>
        <family val="2"/>
        <charset val="162"/>
        <scheme val="minor"/>
      </rPr>
      <t xml:space="preserve"> sekmesinde "</t>
    </r>
    <r>
      <rPr>
        <b/>
        <sz val="22"/>
        <color rgb="FFFF0000"/>
        <rFont val="Calibri"/>
        <family val="2"/>
        <charset val="162"/>
        <scheme val="minor"/>
      </rPr>
      <t>Soldan Sağa</t>
    </r>
    <r>
      <rPr>
        <b/>
        <sz val="22"/>
        <color rgb="FF002060"/>
        <rFont val="Calibri"/>
        <family val="2"/>
        <charset val="162"/>
        <scheme val="minor"/>
      </rPr>
      <t>" seçilmelidir.</t>
    </r>
  </si>
  <si>
    <r>
      <t xml:space="preserve">Özel Sıralama menüsü yerine hazır sıralama ölçütü seçilirse SIRALAMA, seçili alanın 
</t>
    </r>
    <r>
      <rPr>
        <b/>
        <sz val="22"/>
        <color rgb="FFFF0000"/>
        <rFont val="Calibri"/>
        <family val="2"/>
        <charset val="162"/>
        <scheme val="minor"/>
      </rPr>
      <t>en sol sütunundaki</t>
    </r>
    <r>
      <rPr>
        <b/>
        <sz val="22"/>
        <color rgb="FF002060"/>
        <rFont val="Calibri"/>
        <family val="2"/>
        <charset val="162"/>
        <scheme val="minor"/>
      </rPr>
      <t xml:space="preserve"> verilere göre gerçekleşir.</t>
    </r>
  </si>
  <si>
    <t>ANANAS</t>
  </si>
  <si>
    <t>Takım</t>
  </si>
  <si>
    <t>Ülke</t>
  </si>
  <si>
    <t># 2012-2020 yılları</t>
  </si>
  <si>
    <r>
      <t>İş Günü</t>
    </r>
    <r>
      <rPr>
        <b/>
        <i/>
        <sz val="14"/>
        <color rgb="FF002060"/>
        <rFont val="Verdana"/>
        <family val="2"/>
        <charset val="162"/>
      </rPr>
      <t xml:space="preserve"> (başlangıç hariç)</t>
    </r>
  </si>
  <si>
    <t>Yarının tarihi nedir +1</t>
  </si>
  <si>
    <t>Dünün tarihi nedir -1</t>
  </si>
  <si>
    <t>açıklama</t>
  </si>
  <si>
    <r>
      <t xml:space="preserve">6) İlk Sayfa Numarası : Otomatik </t>
    </r>
    <r>
      <rPr>
        <b/>
        <i/>
        <sz val="18"/>
        <color theme="8" tint="-0.249977111117893"/>
        <rFont val="Calibri"/>
        <family val="2"/>
        <charset val="162"/>
        <scheme val="minor"/>
      </rPr>
      <t>(Sayfa başlangıç numarası değiştirilebilir)</t>
    </r>
  </si>
  <si>
    <t>ALT F11 &gt; Insert &gt; Module</t>
  </si>
  <si>
    <t>Dosyanın Yedeklenmesi</t>
  </si>
  <si>
    <t>Konu</t>
  </si>
  <si>
    <r>
      <rPr>
        <b/>
        <sz val="24"/>
        <color rgb="FF0070C0"/>
        <rFont val="Verdana"/>
        <family val="2"/>
        <charset val="162"/>
      </rPr>
      <t>Konum</t>
    </r>
    <r>
      <rPr>
        <b/>
        <sz val="24"/>
        <color rgb="FFFFFFFF"/>
        <rFont val="Verdana"/>
        <family val="2"/>
        <charset val="162"/>
      </rPr>
      <t xml:space="preserve"> </t>
    </r>
    <r>
      <rPr>
        <b/>
        <sz val="14"/>
        <color rgb="FFFF0000"/>
        <rFont val="Verdana"/>
        <family val="2"/>
        <charset val="162"/>
      </rPr>
      <t>(arama Tropik)</t>
    </r>
  </si>
  <si>
    <t>=H2=DÜŞEYARA(C2;$K$2:$L$4;2;0)</t>
  </si>
  <si>
    <t>ETOPLA - ÇOKETOPLA - ORTALAMA</t>
  </si>
  <si>
    <t>Kişi</t>
  </si>
  <si>
    <t>Kişi #</t>
  </si>
  <si>
    <r>
      <rPr>
        <b/>
        <u/>
        <sz val="16"/>
        <color rgb="FFFF0000"/>
        <rFont val="Calibri"/>
        <family val="2"/>
        <charset val="162"/>
        <scheme val="minor"/>
      </rPr>
      <t>Formüller</t>
    </r>
    <r>
      <rPr>
        <b/>
        <sz val="16"/>
        <color theme="1"/>
        <rFont val="Calibri"/>
        <family val="2"/>
        <charset val="162"/>
        <scheme val="minor"/>
      </rPr>
      <t xml:space="preserve"> : Sadece sabit ve gizli değerler </t>
    </r>
    <r>
      <rPr>
        <b/>
        <sz val="16"/>
        <color rgb="FFFF0000"/>
        <rFont val="Calibri"/>
        <family val="2"/>
        <charset val="162"/>
        <scheme val="minor"/>
      </rPr>
      <t>(C7-F10-N1)</t>
    </r>
  </si>
  <si>
    <r>
      <rPr>
        <b/>
        <u/>
        <sz val="16"/>
        <color rgb="FFFF0000"/>
        <rFont val="Calibri"/>
        <family val="2"/>
        <charset val="162"/>
        <scheme val="minor"/>
      </rPr>
      <t>Açıklamalar</t>
    </r>
    <r>
      <rPr>
        <b/>
        <sz val="16"/>
        <color theme="1"/>
        <rFont val="Calibri"/>
        <family val="2"/>
        <charset val="162"/>
        <scheme val="minor"/>
      </rPr>
      <t xml:space="preserve"> : Hücre açıklamaları </t>
    </r>
    <r>
      <rPr>
        <b/>
        <sz val="16"/>
        <color rgb="FFFF0000"/>
        <rFont val="Calibri"/>
        <family val="2"/>
        <charset val="162"/>
        <scheme val="minor"/>
      </rPr>
      <t>(B5)</t>
    </r>
  </si>
  <si>
    <r>
      <rPr>
        <b/>
        <sz val="16"/>
        <color rgb="FFFFFFFF"/>
        <rFont val="Verdana"/>
        <family val="2"/>
        <charset val="162"/>
      </rPr>
      <t xml:space="preserve">Biçim değiştirme
</t>
    </r>
    <r>
      <rPr>
        <b/>
        <sz val="14"/>
        <color rgb="FFFFFFFF"/>
        <rFont val="Verdana"/>
        <family val="2"/>
        <charset val="162"/>
      </rPr>
      <t>Aranan : F4
Yeni Değer : F5</t>
    </r>
  </si>
  <si>
    <r>
      <t xml:space="preserve">Simge Kümeleri; </t>
    </r>
    <r>
      <rPr>
        <b/>
        <sz val="28"/>
        <color rgb="FFFF0000"/>
        <rFont val="Calibri"/>
        <family val="2"/>
        <charset val="162"/>
        <scheme val="minor"/>
      </rPr>
      <t>Filtreleme</t>
    </r>
    <r>
      <rPr>
        <b/>
        <sz val="28"/>
        <color rgb="FF002060"/>
        <rFont val="Calibri"/>
        <family val="2"/>
        <charset val="162"/>
        <scheme val="minor"/>
      </rPr>
      <t xml:space="preserve"> ve </t>
    </r>
    <r>
      <rPr>
        <b/>
        <sz val="28"/>
        <color rgb="FFFF0000"/>
        <rFont val="Calibri"/>
        <family val="2"/>
        <charset val="162"/>
        <scheme val="minor"/>
      </rPr>
      <t xml:space="preserve">Sıralamada </t>
    </r>
    <r>
      <rPr>
        <b/>
        <sz val="28"/>
        <color rgb="FF002060"/>
        <rFont val="Calibri"/>
        <family val="2"/>
        <charset val="162"/>
        <scheme val="minor"/>
      </rPr>
      <t>bir seçenek olarak kullanılır</t>
    </r>
  </si>
  <si>
    <r>
      <rPr>
        <b/>
        <sz val="22"/>
        <color rgb="FFC00000"/>
        <rFont val="Calibri"/>
        <family val="2"/>
        <charset val="162"/>
        <scheme val="minor"/>
      </rPr>
      <t>7.</t>
    </r>
    <r>
      <rPr>
        <b/>
        <sz val="22"/>
        <color theme="1"/>
        <rFont val="Calibri"/>
        <family val="2"/>
        <charset val="162"/>
        <scheme val="minor"/>
      </rPr>
      <t xml:space="preserve"> Hücre rengi yeşil olanlar </t>
    </r>
    <r>
      <rPr>
        <b/>
        <sz val="22"/>
        <color rgb="FFFF0000"/>
        <rFont val="Calibri"/>
        <family val="2"/>
        <charset val="162"/>
        <scheme val="minor"/>
      </rPr>
      <t>(B)</t>
    </r>
  </si>
  <si>
    <r>
      <rPr>
        <b/>
        <sz val="22"/>
        <color rgb="FFC00000"/>
        <rFont val="Calibri"/>
        <family val="2"/>
        <charset val="162"/>
        <scheme val="minor"/>
      </rPr>
      <t>8.</t>
    </r>
    <r>
      <rPr>
        <b/>
        <sz val="22"/>
        <color theme="1"/>
        <rFont val="Calibri"/>
        <family val="2"/>
        <charset val="162"/>
        <scheme val="minor"/>
      </rPr>
      <t xml:space="preserve"> Yazı rengi sarı olanlar </t>
    </r>
    <r>
      <rPr>
        <b/>
        <sz val="22"/>
        <color rgb="FFFF0000"/>
        <rFont val="Calibri"/>
        <family val="2"/>
        <charset val="162"/>
        <scheme val="minor"/>
      </rPr>
      <t>(C)</t>
    </r>
  </si>
  <si>
    <r>
      <rPr>
        <b/>
        <u/>
        <sz val="16"/>
        <color rgb="FFFF0000"/>
        <rFont val="Calibri"/>
        <family val="2"/>
        <charset val="162"/>
        <scheme val="minor"/>
      </rPr>
      <t>Değerler</t>
    </r>
    <r>
      <rPr>
        <b/>
        <sz val="16"/>
        <color theme="1"/>
        <rFont val="Calibri"/>
        <family val="2"/>
        <charset val="162"/>
        <scheme val="minor"/>
      </rPr>
      <t xml:space="preserve"> :</t>
    </r>
    <r>
      <rPr>
        <b/>
        <sz val="14"/>
        <color theme="1"/>
        <rFont val="Calibri"/>
        <family val="2"/>
        <charset val="162"/>
        <scheme val="minor"/>
      </rPr>
      <t xml:space="preserve"> Sabit değerler ve Formül sonuçları </t>
    </r>
    <r>
      <rPr>
        <b/>
        <sz val="14"/>
        <color rgb="FFFF0000"/>
        <rFont val="Calibri"/>
        <family val="2"/>
        <charset val="162"/>
        <scheme val="minor"/>
      </rPr>
      <t>(C7-F10-C11)</t>
    </r>
  </si>
  <si>
    <t>hacim</t>
  </si>
  <si>
    <t>Dosya açılınca daima belirlenen sayfaya gider.</t>
  </si>
  <si>
    <t>Dosya kapatıldığında önce kaydeder, sonra belirlenen klasöre yedekler.</t>
  </si>
  <si>
    <r>
      <t xml:space="preserve">2. </t>
    </r>
    <r>
      <rPr>
        <b/>
        <i/>
        <sz val="16"/>
        <color rgb="FF002060"/>
        <rFont val="Verdana"/>
        <family val="2"/>
        <charset val="162"/>
      </rPr>
      <t xml:space="preserve">(Sayfa tanımları üzerindeyken) 
</t>
    </r>
    <r>
      <rPr>
        <b/>
        <sz val="16"/>
        <color rgb="FF002060"/>
        <rFont val="Verdana"/>
        <family val="2"/>
        <charset val="162"/>
      </rPr>
      <t xml:space="preserve">İşaretleyici sağ klik "Kod Görüntüle" </t>
    </r>
  </si>
  <si>
    <t>3. Geliştirici &gt; Kod &gt; 
Makrolar</t>
  </si>
  <si>
    <t>Yıllar</t>
  </si>
  <si>
    <t>dünya SAĞlık ÖRGÜTÜ</t>
  </si>
  <si>
    <t>Sütun Etiketleri</t>
  </si>
  <si>
    <r>
      <t xml:space="preserve">ELma </t>
    </r>
    <r>
      <rPr>
        <b/>
        <sz val="28"/>
        <color theme="5"/>
        <rFont val="Calibri"/>
        <family val="2"/>
        <charset val="162"/>
        <scheme val="minor"/>
      </rPr>
      <t>****</t>
    </r>
  </si>
  <si>
    <t>EL</t>
  </si>
  <si>
    <t>Bask</t>
  </si>
  <si>
    <r>
      <rPr>
        <b/>
        <sz val="20"/>
        <color rgb="FFC00000"/>
        <rFont val="Calibri"/>
        <family val="2"/>
        <charset val="162"/>
        <scheme val="minor"/>
      </rPr>
      <t>6.</t>
    </r>
    <r>
      <rPr>
        <b/>
        <sz val="20"/>
        <color theme="1"/>
        <rFont val="Calibri"/>
        <family val="2"/>
        <charset val="162"/>
        <scheme val="minor"/>
      </rPr>
      <t xml:space="preserve"> ÜZÜM içeren veya MANDALİNA'ya eşit olan </t>
    </r>
    <r>
      <rPr>
        <b/>
        <sz val="20"/>
        <color rgb="FFFF0000"/>
        <rFont val="Calibri"/>
        <family val="2"/>
        <charset val="162"/>
        <scheme val="minor"/>
      </rPr>
      <t>(VEYA)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</si>
</sst>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%\ 0"/>
    <numFmt numFmtId="165" formatCode="[=0]\-;#,##0"/>
    <numFmt numFmtId="166" formatCode="dd/mm\,ddd\ yyyy"/>
    <numFmt numFmtId="167" formatCode="dd/mmmm\,\ dddd"/>
    <numFmt numFmtId="168" formatCode="dd\ mmmm\ dddd"/>
    <numFmt numFmtId="169" formatCode="dddd"/>
    <numFmt numFmtId="170" formatCode="dd/mm/yyyy\ dddd"/>
    <numFmt numFmtId="171" formatCode="hh:mm;@"/>
    <numFmt numFmtId="172" formatCode="dd/mmmm/yyyy"/>
  </numFmts>
  <fonts count="255" x14ac:knownFonts="1">
    <font>
      <sz val="11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sz val="28"/>
      <color theme="1"/>
      <name val="Calibri"/>
      <family val="2"/>
      <charset val="162"/>
      <scheme val="minor"/>
    </font>
    <font>
      <b/>
      <sz val="26"/>
      <color theme="0"/>
      <name val="Verdana"/>
      <family val="2"/>
      <charset val="162"/>
    </font>
    <font>
      <b/>
      <sz val="36"/>
      <color theme="1"/>
      <name val="Calibri"/>
      <family val="2"/>
      <charset val="204"/>
      <scheme val="minor"/>
    </font>
    <font>
      <sz val="26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204"/>
      <scheme val="minor"/>
    </font>
    <font>
      <b/>
      <sz val="28"/>
      <color theme="0"/>
      <name val="Calibri"/>
      <family val="2"/>
      <charset val="162"/>
      <scheme val="minor"/>
    </font>
    <font>
      <sz val="9"/>
      <color indexed="81"/>
      <name val="Tahoma"/>
      <family val="2"/>
      <charset val="162"/>
    </font>
    <font>
      <b/>
      <sz val="9"/>
      <color indexed="81"/>
      <name val="Tahoma"/>
      <family val="2"/>
      <charset val="162"/>
    </font>
    <font>
      <u/>
      <sz val="11"/>
      <color theme="10"/>
      <name val="Calibri"/>
      <family val="2"/>
      <charset val="162"/>
      <scheme val="minor"/>
    </font>
    <font>
      <b/>
      <sz val="26"/>
      <color theme="1"/>
      <name val="Calibri"/>
      <family val="2"/>
      <charset val="162"/>
      <scheme val="minor"/>
    </font>
    <font>
      <b/>
      <sz val="20"/>
      <color theme="1"/>
      <name val="Calibri"/>
      <family val="2"/>
      <charset val="162"/>
      <scheme val="minor"/>
    </font>
    <font>
      <b/>
      <sz val="28"/>
      <color rgb="FFFF0000"/>
      <name val="Calibri"/>
      <family val="2"/>
      <charset val="162"/>
      <scheme val="minor"/>
    </font>
    <font>
      <b/>
      <sz val="24"/>
      <color theme="0"/>
      <name val="Verdana"/>
      <family val="2"/>
      <charset val="162"/>
    </font>
    <font>
      <b/>
      <sz val="20"/>
      <color theme="0"/>
      <name val="Verdana"/>
      <family val="2"/>
      <charset val="162"/>
    </font>
    <font>
      <sz val="20"/>
      <color theme="1"/>
      <name val="Calibri"/>
      <family val="2"/>
      <charset val="162"/>
      <scheme val="minor"/>
    </font>
    <font>
      <b/>
      <u/>
      <sz val="18"/>
      <color theme="0"/>
      <name val="Calibri"/>
      <family val="2"/>
      <charset val="162"/>
      <scheme val="minor"/>
    </font>
    <font>
      <b/>
      <sz val="36"/>
      <name val="Calibri"/>
      <family val="2"/>
      <charset val="204"/>
      <scheme val="minor"/>
    </font>
    <font>
      <b/>
      <sz val="16"/>
      <color theme="1" tint="4.9989318521683403E-2"/>
      <name val="Verdana"/>
      <family val="2"/>
      <charset val="162"/>
    </font>
    <font>
      <b/>
      <sz val="14"/>
      <color theme="1" tint="4.9989318521683403E-2"/>
      <name val="Verdana"/>
      <family val="2"/>
      <charset val="162"/>
    </font>
    <font>
      <b/>
      <i/>
      <sz val="14"/>
      <color theme="1"/>
      <name val="Verdana"/>
      <family val="2"/>
      <charset val="162"/>
    </font>
    <font>
      <b/>
      <i/>
      <sz val="14"/>
      <color theme="1" tint="4.9989318521683403E-2"/>
      <name val="Verdana"/>
      <family val="2"/>
      <charset val="162"/>
    </font>
    <font>
      <sz val="14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22"/>
      <color theme="1"/>
      <name val="Calibri"/>
      <family val="2"/>
      <charset val="162"/>
      <scheme val="minor"/>
    </font>
    <font>
      <sz val="22"/>
      <color rgb="FF00B050"/>
      <name val="Calibri"/>
      <family val="2"/>
      <charset val="162"/>
      <scheme val="minor"/>
    </font>
    <font>
      <b/>
      <sz val="22"/>
      <color rgb="FF00B050"/>
      <name val="Calibri"/>
      <family val="2"/>
      <charset val="162"/>
      <scheme val="minor"/>
    </font>
    <font>
      <b/>
      <sz val="22"/>
      <color rgb="FFC00000"/>
      <name val="Calibri"/>
      <family val="2"/>
      <charset val="162"/>
      <scheme val="minor"/>
    </font>
    <font>
      <sz val="12"/>
      <color rgb="FF3A3A3A"/>
      <name val="Times New Roman"/>
      <family val="1"/>
      <charset val="162"/>
    </font>
    <font>
      <b/>
      <sz val="12"/>
      <color rgb="FFFF0000"/>
      <name val="Times New Roman"/>
      <family val="1"/>
      <charset val="162"/>
    </font>
    <font>
      <sz val="11"/>
      <color rgb="FFFF0000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sz val="16"/>
      <color theme="1"/>
      <name val="Calibri"/>
      <family val="2"/>
      <charset val="162"/>
      <scheme val="minor"/>
    </font>
    <font>
      <b/>
      <sz val="18"/>
      <color theme="0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20"/>
      <color theme="0"/>
      <name val="Calibri"/>
      <family val="2"/>
      <charset val="162"/>
      <scheme val="minor"/>
    </font>
    <font>
      <b/>
      <sz val="18"/>
      <color theme="1"/>
      <name val="Calibri"/>
      <family val="2"/>
      <charset val="162"/>
      <scheme val="minor"/>
    </font>
    <font>
      <b/>
      <sz val="16"/>
      <color theme="0"/>
      <name val="Verdana"/>
      <family val="2"/>
      <charset val="162"/>
    </font>
    <font>
      <b/>
      <sz val="20"/>
      <color theme="1"/>
      <name val="Verdana"/>
      <family val="2"/>
      <charset val="162"/>
    </font>
    <font>
      <b/>
      <sz val="22"/>
      <color theme="1"/>
      <name val="Verdana"/>
      <family val="2"/>
      <charset val="162"/>
    </font>
    <font>
      <b/>
      <sz val="26"/>
      <color theme="1"/>
      <name val="Verdana"/>
      <family val="2"/>
      <charset val="162"/>
    </font>
    <font>
      <sz val="11"/>
      <color theme="1"/>
      <name val="Verdana"/>
      <family val="2"/>
      <charset val="162"/>
    </font>
    <font>
      <b/>
      <i/>
      <sz val="28"/>
      <color rgb="FFC00000"/>
      <name val="Calibri"/>
      <family val="2"/>
      <charset val="162"/>
      <scheme val="minor"/>
    </font>
    <font>
      <b/>
      <sz val="22"/>
      <color rgb="FFFF0000"/>
      <name val="Verdana"/>
      <family val="2"/>
      <charset val="162"/>
    </font>
    <font>
      <b/>
      <sz val="20"/>
      <color rgb="FFFF0000"/>
      <name val="Calibri"/>
      <family val="2"/>
      <charset val="162"/>
      <scheme val="minor"/>
    </font>
    <font>
      <b/>
      <i/>
      <sz val="18"/>
      <color theme="5"/>
      <name val="Calibri"/>
      <family val="2"/>
      <charset val="162"/>
      <scheme val="minor"/>
    </font>
    <font>
      <b/>
      <sz val="18"/>
      <color rgb="FFFF0000"/>
      <name val="Calibri"/>
      <family val="2"/>
      <charset val="162"/>
      <scheme val="minor"/>
    </font>
    <font>
      <b/>
      <u/>
      <sz val="22"/>
      <color theme="10"/>
      <name val="Calibri"/>
      <family val="2"/>
      <charset val="162"/>
      <scheme val="minor"/>
    </font>
    <font>
      <b/>
      <sz val="26"/>
      <color theme="1" tint="4.9989318521683403E-2"/>
      <name val="Calibri"/>
      <family val="2"/>
      <charset val="162"/>
      <scheme val="minor"/>
    </font>
    <font>
      <b/>
      <sz val="26"/>
      <color rgb="FFFFFFFF"/>
      <name val="Verdana"/>
      <family val="2"/>
      <charset val="162"/>
    </font>
    <font>
      <sz val="11"/>
      <color theme="4"/>
      <name val="Calibri"/>
      <family val="2"/>
      <charset val="162"/>
      <scheme val="minor"/>
    </font>
    <font>
      <sz val="11"/>
      <color theme="5"/>
      <name val="Calibri"/>
      <family val="2"/>
      <charset val="162"/>
      <scheme val="minor"/>
    </font>
    <font>
      <sz val="11"/>
      <color theme="7" tint="-0.499984740745262"/>
      <name val="Calibri"/>
      <family val="2"/>
      <charset val="162"/>
      <scheme val="minor"/>
    </font>
    <font>
      <b/>
      <sz val="20"/>
      <color theme="9"/>
      <name val="Wingdings"/>
      <charset val="2"/>
    </font>
    <font>
      <b/>
      <sz val="20"/>
      <color theme="9"/>
      <name val="Calibri"/>
      <family val="2"/>
      <charset val="162"/>
      <scheme val="minor"/>
    </font>
    <font>
      <b/>
      <sz val="20"/>
      <color theme="4" tint="-0.249977111117893"/>
      <name val="Wingdings"/>
      <charset val="2"/>
    </font>
    <font>
      <b/>
      <sz val="20"/>
      <color theme="4" tint="-0.249977111117893"/>
      <name val="Calibri"/>
      <family val="2"/>
      <charset val="162"/>
      <scheme val="minor"/>
    </font>
    <font>
      <b/>
      <sz val="20"/>
      <color theme="5"/>
      <name val="Wingdings"/>
      <charset val="2"/>
    </font>
    <font>
      <b/>
      <sz val="20"/>
      <color theme="5"/>
      <name val="Calibri"/>
      <family val="2"/>
      <charset val="162"/>
      <scheme val="minor"/>
    </font>
    <font>
      <b/>
      <sz val="20"/>
      <color theme="7" tint="-0.499984740745262"/>
      <name val="Wingdings"/>
      <charset val="2"/>
    </font>
    <font>
      <b/>
      <sz val="20"/>
      <color theme="7" tint="-0.499984740745262"/>
      <name val="Calibri"/>
      <family val="2"/>
      <charset val="162"/>
      <scheme val="minor"/>
    </font>
    <font>
      <b/>
      <sz val="20"/>
      <color rgb="FFFF0000"/>
      <name val="Wingdings"/>
      <charset val="2"/>
    </font>
    <font>
      <b/>
      <sz val="22"/>
      <color theme="1"/>
      <name val="Calibri"/>
      <family val="2"/>
      <charset val="162"/>
      <scheme val="minor"/>
    </font>
    <font>
      <b/>
      <sz val="22"/>
      <color rgb="FF0070C0"/>
      <name val="Verdana"/>
      <family val="2"/>
      <charset val="162"/>
    </font>
    <font>
      <b/>
      <sz val="22"/>
      <color theme="5" tint="-0.249977111117893"/>
      <name val="Verdana"/>
      <family val="2"/>
      <charset val="162"/>
    </font>
    <font>
      <b/>
      <sz val="22"/>
      <color rgb="FF00B050"/>
      <name val="Verdana"/>
      <family val="2"/>
      <charset val="162"/>
    </font>
    <font>
      <b/>
      <sz val="24"/>
      <color theme="0"/>
      <name val="Calibri"/>
      <family val="2"/>
      <charset val="162"/>
      <scheme val="minor"/>
    </font>
    <font>
      <b/>
      <sz val="22"/>
      <color theme="3"/>
      <name val="Calibri"/>
      <family val="2"/>
      <charset val="162"/>
      <scheme val="minor"/>
    </font>
    <font>
      <b/>
      <sz val="22"/>
      <color rgb="FFFF0000"/>
      <name val="Calibri"/>
      <family val="2"/>
      <charset val="162"/>
      <scheme val="minor"/>
    </font>
    <font>
      <b/>
      <sz val="22"/>
      <color theme="0"/>
      <name val="Calibri"/>
      <family val="2"/>
      <charset val="162"/>
      <scheme val="minor"/>
    </font>
    <font>
      <b/>
      <sz val="22"/>
      <color rgb="FFFFC000"/>
      <name val="Verdana"/>
      <family val="2"/>
      <charset val="162"/>
    </font>
    <font>
      <b/>
      <sz val="18"/>
      <color rgb="FFC00000"/>
      <name val="Calibri"/>
      <family val="2"/>
      <charset val="162"/>
      <scheme val="minor"/>
    </font>
    <font>
      <b/>
      <i/>
      <sz val="12"/>
      <color theme="1" tint="4.9989318521683403E-2"/>
      <name val="Verdana"/>
      <family val="2"/>
      <charset val="162"/>
    </font>
    <font>
      <b/>
      <sz val="26"/>
      <color rgb="FFC00000"/>
      <name val="Calibri"/>
      <family val="2"/>
      <charset val="162"/>
      <scheme val="minor"/>
    </font>
    <font>
      <b/>
      <sz val="18"/>
      <color rgb="FF002060"/>
      <name val="Calibri"/>
      <family val="2"/>
      <charset val="162"/>
      <scheme val="minor"/>
    </font>
    <font>
      <b/>
      <sz val="26"/>
      <color theme="5" tint="-0.499984740745262"/>
      <name val="Calibri"/>
      <family val="2"/>
      <charset val="162"/>
      <scheme val="minor"/>
    </font>
    <font>
      <b/>
      <i/>
      <sz val="24"/>
      <color theme="5" tint="-0.499984740745262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u/>
      <sz val="20"/>
      <color theme="0"/>
      <name val="Calibri"/>
      <family val="2"/>
      <charset val="162"/>
      <scheme val="minor"/>
    </font>
    <font>
      <b/>
      <sz val="28"/>
      <color theme="0"/>
      <name val="Verdana"/>
      <family val="2"/>
      <charset val="162"/>
    </font>
    <font>
      <b/>
      <i/>
      <sz val="14"/>
      <color rgb="FFFF0000"/>
      <name val="Verdana"/>
      <family val="2"/>
      <charset val="162"/>
    </font>
    <font>
      <b/>
      <sz val="14"/>
      <color theme="1"/>
      <name val="Verdana"/>
      <family val="2"/>
      <charset val="162"/>
    </font>
    <font>
      <b/>
      <sz val="16"/>
      <color rgb="FF002060"/>
      <name val="Verdana"/>
      <family val="2"/>
      <charset val="162"/>
    </font>
    <font>
      <b/>
      <sz val="26"/>
      <color rgb="FF002060"/>
      <name val="Verdana"/>
      <family val="2"/>
      <charset val="162"/>
    </font>
    <font>
      <b/>
      <sz val="24"/>
      <color rgb="FF002060"/>
      <name val="Verdana"/>
      <family val="2"/>
      <charset val="162"/>
    </font>
    <font>
      <b/>
      <i/>
      <sz val="26"/>
      <color rgb="FF0070C0"/>
      <name val="Calibri"/>
      <family val="2"/>
      <charset val="162"/>
      <scheme val="minor"/>
    </font>
    <font>
      <b/>
      <u/>
      <sz val="22"/>
      <color theme="0"/>
      <name val="Calibri"/>
      <family val="2"/>
      <charset val="162"/>
      <scheme val="minor"/>
    </font>
    <font>
      <sz val="22"/>
      <color theme="1"/>
      <name val="Verdana"/>
      <family val="2"/>
      <charset val="162"/>
    </font>
    <font>
      <sz val="24"/>
      <color theme="1"/>
      <name val="Verdana"/>
      <family val="2"/>
      <charset val="162"/>
    </font>
    <font>
      <b/>
      <sz val="36"/>
      <color rgb="FFFF0000"/>
      <name val="Calibri"/>
      <family val="2"/>
      <charset val="204"/>
      <scheme val="minor"/>
    </font>
    <font>
      <b/>
      <sz val="24"/>
      <color theme="1" tint="4.9989318521683403E-2"/>
      <name val="Calibri"/>
      <family val="2"/>
      <charset val="162"/>
      <scheme val="minor"/>
    </font>
    <font>
      <b/>
      <sz val="16"/>
      <color rgb="FFFF0000"/>
      <name val="Calibri"/>
      <family val="2"/>
      <charset val="162"/>
      <scheme val="minor"/>
    </font>
    <font>
      <b/>
      <sz val="16"/>
      <color rgb="FF002060"/>
      <name val="Calibri"/>
      <family val="2"/>
      <charset val="162"/>
      <scheme val="minor"/>
    </font>
    <font>
      <b/>
      <u/>
      <sz val="14"/>
      <color theme="10"/>
      <name val="Calibri"/>
      <family val="2"/>
      <charset val="162"/>
      <scheme val="minor"/>
    </font>
    <font>
      <b/>
      <sz val="14"/>
      <color theme="1"/>
      <name val="Calibri"/>
      <family val="2"/>
      <charset val="204"/>
      <scheme val="minor"/>
    </font>
    <font>
      <b/>
      <sz val="26"/>
      <color theme="0"/>
      <name val="Calibri"/>
      <family val="2"/>
      <charset val="204"/>
      <scheme val="minor"/>
    </font>
    <font>
      <b/>
      <sz val="24"/>
      <color theme="0"/>
      <name val="Calibri"/>
      <family val="2"/>
      <charset val="204"/>
      <scheme val="minor"/>
    </font>
    <font>
      <b/>
      <i/>
      <sz val="20"/>
      <color rgb="FFFF0000"/>
      <name val="Calibri"/>
      <family val="2"/>
      <charset val="162"/>
      <scheme val="minor"/>
    </font>
    <font>
      <b/>
      <sz val="22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24"/>
      <color theme="1"/>
      <name val="Calibri"/>
      <family val="2"/>
      <charset val="162"/>
      <scheme val="minor"/>
    </font>
    <font>
      <b/>
      <sz val="26"/>
      <color theme="1"/>
      <name val="Calibri"/>
      <family val="2"/>
      <charset val="204"/>
      <scheme val="minor"/>
    </font>
    <font>
      <b/>
      <sz val="24"/>
      <color theme="1"/>
      <name val="Calibri"/>
      <family val="2"/>
      <charset val="204"/>
      <scheme val="minor"/>
    </font>
    <font>
      <b/>
      <sz val="36"/>
      <color theme="0"/>
      <name val="Calibri"/>
      <family val="2"/>
      <charset val="204"/>
      <scheme val="minor"/>
    </font>
    <font>
      <b/>
      <sz val="20"/>
      <color rgb="FFFFFFFF"/>
      <name val="Verdana"/>
      <family val="2"/>
      <charset val="162"/>
    </font>
    <font>
      <b/>
      <sz val="18"/>
      <color rgb="FFFFFFFF"/>
      <name val="Verdana"/>
      <family val="2"/>
      <charset val="162"/>
    </font>
    <font>
      <b/>
      <sz val="22"/>
      <name val="Verdana"/>
      <family val="2"/>
      <charset val="162"/>
    </font>
    <font>
      <b/>
      <sz val="26"/>
      <color theme="0"/>
      <name val="Calibri"/>
      <family val="2"/>
      <charset val="162"/>
      <scheme val="minor"/>
    </font>
    <font>
      <b/>
      <u/>
      <sz val="28"/>
      <color theme="0"/>
      <name val="Calibri"/>
      <family val="2"/>
      <charset val="162"/>
      <scheme val="minor"/>
    </font>
    <font>
      <b/>
      <sz val="72"/>
      <color rgb="FF002060"/>
      <name val="Calibri"/>
      <family val="2"/>
      <charset val="162"/>
      <scheme val="minor"/>
    </font>
    <font>
      <b/>
      <sz val="48"/>
      <color rgb="FF002060"/>
      <name val="Calibri"/>
      <family val="2"/>
      <charset val="162"/>
      <scheme val="minor"/>
    </font>
    <font>
      <b/>
      <u/>
      <sz val="18"/>
      <color rgb="FF002060"/>
      <name val="Calibri"/>
      <family val="2"/>
      <charset val="162"/>
      <scheme val="minor"/>
    </font>
    <font>
      <b/>
      <u/>
      <sz val="16"/>
      <color rgb="FF002060"/>
      <name val="Calibri"/>
      <family val="2"/>
      <charset val="162"/>
      <scheme val="minor"/>
    </font>
    <font>
      <b/>
      <sz val="14"/>
      <color rgb="FF002060"/>
      <name val="Calibri"/>
      <family val="2"/>
      <charset val="162"/>
      <scheme val="minor"/>
    </font>
    <font>
      <b/>
      <sz val="48"/>
      <color theme="0"/>
      <name val="Calibri"/>
      <family val="2"/>
      <charset val="162"/>
      <scheme val="minor"/>
    </font>
    <font>
      <b/>
      <sz val="72"/>
      <color theme="0"/>
      <name val="Calibri"/>
      <family val="2"/>
      <charset val="162"/>
      <scheme val="minor"/>
    </font>
    <font>
      <b/>
      <sz val="22"/>
      <color theme="0"/>
      <name val="Verdana"/>
      <family val="2"/>
      <charset val="162"/>
    </font>
    <font>
      <b/>
      <sz val="26"/>
      <color theme="4" tint="-0.249977111117893"/>
      <name val="Calibri"/>
      <family val="2"/>
      <charset val="162"/>
      <scheme val="minor"/>
    </font>
    <font>
      <b/>
      <sz val="28"/>
      <color rgb="FFFF0000"/>
      <name val="Calibri"/>
      <family val="2"/>
      <charset val="204"/>
      <scheme val="minor"/>
    </font>
    <font>
      <b/>
      <sz val="28"/>
      <color rgb="FF00B050"/>
      <name val="Calibri"/>
      <family val="2"/>
      <charset val="204"/>
      <scheme val="minor"/>
    </font>
    <font>
      <b/>
      <sz val="28"/>
      <color theme="0"/>
      <name val="Calibri"/>
      <family val="2"/>
      <charset val="204"/>
      <scheme val="minor"/>
    </font>
    <font>
      <b/>
      <sz val="18"/>
      <color rgb="FF002060"/>
      <name val="Calibri"/>
      <family val="2"/>
      <charset val="204"/>
      <scheme val="minor"/>
    </font>
    <font>
      <b/>
      <sz val="48"/>
      <color rgb="FF002060"/>
      <name val="Calibri"/>
      <family val="2"/>
      <charset val="204"/>
      <scheme val="minor"/>
    </font>
    <font>
      <b/>
      <sz val="16"/>
      <color rgb="FF002060"/>
      <name val="Calibri"/>
      <family val="2"/>
      <charset val="204"/>
      <scheme val="minor"/>
    </font>
    <font>
      <b/>
      <i/>
      <sz val="14"/>
      <color rgb="FF002060"/>
      <name val="Calibri"/>
      <family val="2"/>
      <charset val="162"/>
      <scheme val="minor"/>
    </font>
    <font>
      <b/>
      <sz val="36"/>
      <color rgb="FFFF0000"/>
      <name val="Calibri"/>
      <family val="2"/>
      <charset val="162"/>
      <scheme val="minor"/>
    </font>
    <font>
      <sz val="24"/>
      <color theme="1"/>
      <name val="Calibri"/>
      <family val="2"/>
      <charset val="204"/>
      <scheme val="minor"/>
    </font>
    <font>
      <b/>
      <sz val="20"/>
      <color theme="8" tint="-0.499984740745262"/>
      <name val="Verdana"/>
      <family val="2"/>
      <charset val="162"/>
    </font>
    <font>
      <b/>
      <sz val="22"/>
      <color rgb="FF002060"/>
      <name val="Verdana"/>
      <family val="2"/>
      <charset val="162"/>
    </font>
    <font>
      <b/>
      <sz val="22"/>
      <color theme="8" tint="-0.249977111117893"/>
      <name val="Verdana"/>
      <family val="2"/>
      <charset val="162"/>
    </font>
    <font>
      <b/>
      <sz val="16"/>
      <color theme="1"/>
      <name val="Verdana"/>
      <family val="2"/>
      <charset val="162"/>
    </font>
    <font>
      <b/>
      <i/>
      <sz val="16"/>
      <color theme="1"/>
      <name val="Calibri"/>
      <family val="2"/>
      <charset val="162"/>
      <scheme val="minor"/>
    </font>
    <font>
      <sz val="20"/>
      <color theme="1"/>
      <name val="Verdana"/>
      <family val="2"/>
      <charset val="162"/>
    </font>
    <font>
      <b/>
      <sz val="18"/>
      <color rgb="FF002060"/>
      <name val="Verdana"/>
      <family val="2"/>
      <charset val="162"/>
    </font>
    <font>
      <b/>
      <sz val="11"/>
      <color theme="1"/>
      <name val="Verdana"/>
      <family val="2"/>
      <charset val="162"/>
    </font>
    <font>
      <b/>
      <sz val="11"/>
      <color rgb="FFFF0000"/>
      <name val="Verdana"/>
      <family val="2"/>
      <charset val="162"/>
    </font>
    <font>
      <b/>
      <sz val="11"/>
      <color rgb="FF00B050"/>
      <name val="Verdana"/>
      <family val="2"/>
      <charset val="162"/>
    </font>
    <font>
      <b/>
      <u/>
      <sz val="16"/>
      <color rgb="FFC00000"/>
      <name val="Verdana"/>
      <family val="2"/>
      <charset val="162"/>
    </font>
    <font>
      <b/>
      <i/>
      <sz val="16"/>
      <color rgb="FF0070C0"/>
      <name val="Verdana"/>
      <family val="2"/>
      <charset val="162"/>
    </font>
    <font>
      <b/>
      <sz val="36"/>
      <color theme="0"/>
      <name val="Calibri"/>
      <family val="2"/>
      <charset val="162"/>
      <scheme val="minor"/>
    </font>
    <font>
      <b/>
      <sz val="18"/>
      <color theme="0"/>
      <name val="Verdana"/>
      <family val="2"/>
      <charset val="162"/>
    </font>
    <font>
      <b/>
      <sz val="36"/>
      <color rgb="FFC00000"/>
      <name val="Calibri"/>
      <family val="2"/>
      <charset val="162"/>
      <scheme val="minor"/>
    </font>
    <font>
      <b/>
      <sz val="22"/>
      <color rgb="FF002060"/>
      <name val="Calibri"/>
      <family val="2"/>
      <charset val="162"/>
      <scheme val="minor"/>
    </font>
    <font>
      <sz val="9"/>
      <color rgb="FFC00000"/>
      <name val="Verdana"/>
      <family val="2"/>
      <charset val="162"/>
    </font>
    <font>
      <b/>
      <u/>
      <sz val="28"/>
      <color theme="1"/>
      <name val="Calibri"/>
      <family val="2"/>
      <charset val="162"/>
      <scheme val="minor"/>
    </font>
    <font>
      <b/>
      <sz val="28"/>
      <color rgb="FF002060"/>
      <name val="Calibri"/>
      <family val="2"/>
      <charset val="162"/>
      <scheme val="minor"/>
    </font>
    <font>
      <sz val="24"/>
      <color rgb="FF002060"/>
      <name val="Calibri"/>
      <family val="2"/>
      <charset val="204"/>
      <scheme val="minor"/>
    </font>
    <font>
      <b/>
      <sz val="16"/>
      <color theme="7" tint="-0.499984740745262"/>
      <name val="Calibri"/>
      <family val="2"/>
      <charset val="162"/>
      <scheme val="minor"/>
    </font>
    <font>
      <b/>
      <sz val="18"/>
      <color theme="0"/>
      <name val="Calibri"/>
      <family val="2"/>
      <charset val="204"/>
      <scheme val="minor"/>
    </font>
    <font>
      <b/>
      <sz val="24"/>
      <color rgb="FFC00000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162"/>
      <scheme val="minor"/>
    </font>
    <font>
      <b/>
      <sz val="15"/>
      <color theme="4" tint="-0.249977111117893"/>
      <name val="Calibri"/>
      <family val="2"/>
      <charset val="162"/>
      <scheme val="minor"/>
    </font>
    <font>
      <b/>
      <sz val="15"/>
      <color theme="1"/>
      <name val="Calibri"/>
      <family val="2"/>
      <charset val="162"/>
      <scheme val="minor"/>
    </font>
    <font>
      <b/>
      <sz val="18"/>
      <color theme="0"/>
      <name val="Verdana"/>
      <family val="2"/>
      <charset val="204"/>
    </font>
    <font>
      <b/>
      <i/>
      <sz val="16"/>
      <color theme="0"/>
      <name val="Calibri"/>
      <family val="2"/>
      <charset val="162"/>
      <scheme val="minor"/>
    </font>
    <font>
      <b/>
      <sz val="20"/>
      <color rgb="FFC00000"/>
      <name val="Calibri"/>
      <family val="2"/>
      <charset val="162"/>
      <scheme val="minor"/>
    </font>
    <font>
      <b/>
      <i/>
      <sz val="26"/>
      <color rgb="FFC00000"/>
      <name val="Calibri"/>
      <family val="2"/>
      <charset val="162"/>
      <scheme val="minor"/>
    </font>
    <font>
      <b/>
      <sz val="16"/>
      <color rgb="FFC00000"/>
      <name val="Calibri"/>
      <family val="2"/>
      <charset val="162"/>
      <scheme val="minor"/>
    </font>
    <font>
      <b/>
      <sz val="13"/>
      <color theme="1" tint="4.9989318521683403E-2"/>
      <name val="Verdana"/>
      <family val="2"/>
      <charset val="162"/>
    </font>
    <font>
      <b/>
      <sz val="28"/>
      <color theme="1" tint="4.9989318521683403E-2"/>
      <name val="Verdana"/>
      <family val="2"/>
      <charset val="162"/>
    </font>
    <font>
      <b/>
      <sz val="22"/>
      <color theme="4" tint="-0.249977111117893"/>
      <name val="Calibri"/>
      <family val="2"/>
      <charset val="162"/>
      <scheme val="minor"/>
    </font>
    <font>
      <b/>
      <sz val="22"/>
      <color rgb="FF0070C0"/>
      <name val="Calibri"/>
      <family val="2"/>
      <charset val="162"/>
      <scheme val="minor"/>
    </font>
    <font>
      <b/>
      <sz val="26"/>
      <color rgb="FF00B050"/>
      <name val="Calibri"/>
      <family val="2"/>
      <charset val="162"/>
      <scheme val="minor"/>
    </font>
    <font>
      <b/>
      <sz val="26"/>
      <color rgb="FF0070C0"/>
      <name val="Calibri"/>
      <family val="2"/>
      <charset val="162"/>
      <scheme val="minor"/>
    </font>
    <font>
      <b/>
      <sz val="28"/>
      <name val="Calibri"/>
      <family val="2"/>
      <charset val="162"/>
      <scheme val="minor"/>
    </font>
    <font>
      <b/>
      <sz val="24"/>
      <color theme="4" tint="-0.249977111117893"/>
      <name val="Calibri"/>
      <family val="2"/>
      <charset val="162"/>
      <scheme val="minor"/>
    </font>
    <font>
      <b/>
      <sz val="24"/>
      <color rgb="FFFF0000"/>
      <name val="Calibri"/>
      <family val="2"/>
      <charset val="162"/>
      <scheme val="minor"/>
    </font>
    <font>
      <b/>
      <i/>
      <sz val="24"/>
      <color rgb="FFFF0000"/>
      <name val="Calibri"/>
      <family val="2"/>
      <charset val="162"/>
      <scheme val="minor"/>
    </font>
    <font>
      <b/>
      <sz val="24"/>
      <color rgb="FFC00000"/>
      <name val="Verdana"/>
      <family val="2"/>
      <charset val="162"/>
    </font>
    <font>
      <b/>
      <sz val="26"/>
      <color rgb="FFC00000"/>
      <name val="Verdana"/>
      <family val="2"/>
      <charset val="162"/>
    </font>
    <font>
      <b/>
      <sz val="22"/>
      <color rgb="FFC00000"/>
      <name val="Verdana"/>
      <family val="2"/>
      <charset val="162"/>
    </font>
    <font>
      <b/>
      <u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4"/>
      <color theme="0"/>
      <name val="Verdana"/>
      <family val="2"/>
      <charset val="162"/>
    </font>
    <font>
      <b/>
      <sz val="20"/>
      <color rgb="FFFFC000"/>
      <name val="Calibri"/>
      <family val="2"/>
      <charset val="162"/>
      <scheme val="minor"/>
    </font>
    <font>
      <b/>
      <i/>
      <sz val="20"/>
      <color rgb="FFFFC000"/>
      <name val="Calibri"/>
      <family val="2"/>
      <charset val="162"/>
      <scheme val="minor"/>
    </font>
    <font>
      <b/>
      <i/>
      <sz val="24"/>
      <color theme="1"/>
      <name val="Calibri"/>
      <family val="2"/>
      <charset val="162"/>
      <scheme val="minor"/>
    </font>
    <font>
      <b/>
      <sz val="26"/>
      <color rgb="FFFF0000"/>
      <name val="Verdana"/>
      <family val="2"/>
      <charset val="162"/>
    </font>
    <font>
      <b/>
      <sz val="20"/>
      <color rgb="FF002060"/>
      <name val="Verdana"/>
      <family val="2"/>
      <charset val="162"/>
    </font>
    <font>
      <b/>
      <sz val="24"/>
      <color rgb="FF002060"/>
      <name val="Calibri"/>
      <family val="2"/>
      <charset val="204"/>
      <scheme val="minor"/>
    </font>
    <font>
      <b/>
      <u/>
      <sz val="26"/>
      <color theme="0"/>
      <name val="Calibri"/>
      <family val="2"/>
      <charset val="162"/>
      <scheme val="minor"/>
    </font>
    <font>
      <b/>
      <u/>
      <sz val="20"/>
      <color rgb="FFC00000"/>
      <name val="Calibri"/>
      <family val="2"/>
      <charset val="162"/>
      <scheme val="minor"/>
    </font>
    <font>
      <b/>
      <sz val="24"/>
      <color theme="8" tint="-0.499984740745262"/>
      <name val="Calibri"/>
      <family val="2"/>
      <charset val="162"/>
      <scheme val="minor"/>
    </font>
    <font>
      <b/>
      <u/>
      <sz val="24"/>
      <color theme="8" tint="-0.499984740745262"/>
      <name val="Calibri"/>
      <family val="2"/>
      <charset val="162"/>
      <scheme val="minor"/>
    </font>
    <font>
      <b/>
      <sz val="36"/>
      <color theme="0"/>
      <name val="Verdana"/>
      <family val="2"/>
      <charset val="162"/>
    </font>
    <font>
      <b/>
      <i/>
      <sz val="26"/>
      <color rgb="FFFF0000"/>
      <name val="Calibri"/>
      <family val="2"/>
      <charset val="162"/>
      <scheme val="minor"/>
    </font>
    <font>
      <b/>
      <i/>
      <sz val="18"/>
      <color rgb="FFFF0000"/>
      <name val="Calibri"/>
      <family val="2"/>
      <charset val="162"/>
      <scheme val="minor"/>
    </font>
    <font>
      <b/>
      <sz val="18"/>
      <color theme="1" tint="4.9989318521683403E-2"/>
      <name val="Verdana"/>
      <family val="2"/>
      <charset val="162"/>
    </font>
    <font>
      <b/>
      <sz val="16"/>
      <color rgb="FF00B050"/>
      <name val="Verdana"/>
      <family val="2"/>
      <charset val="162"/>
    </font>
    <font>
      <b/>
      <sz val="20"/>
      <color rgb="FF002060"/>
      <name val="Calibri"/>
      <family val="2"/>
      <charset val="204"/>
      <scheme val="minor"/>
    </font>
    <font>
      <b/>
      <sz val="20"/>
      <color rgb="FF002060"/>
      <name val="Calibri"/>
      <family val="2"/>
      <charset val="162"/>
      <scheme val="minor"/>
    </font>
    <font>
      <b/>
      <sz val="12"/>
      <color rgb="FF3A3A3A"/>
      <name val="Times New Roman"/>
      <family val="1"/>
      <charset val="162"/>
    </font>
    <font>
      <b/>
      <sz val="12"/>
      <color rgb="FF00B050"/>
      <name val="Times New Roman"/>
      <family val="1"/>
      <charset val="162"/>
    </font>
    <font>
      <b/>
      <sz val="24"/>
      <color theme="1" tint="4.9989318521683403E-2"/>
      <name val="Verdana"/>
      <family val="2"/>
      <charset val="162"/>
    </font>
    <font>
      <b/>
      <sz val="36"/>
      <color theme="1" tint="4.9989318521683403E-2"/>
      <name val="Verdana"/>
      <family val="2"/>
      <charset val="162"/>
    </font>
    <font>
      <b/>
      <sz val="14"/>
      <color rgb="FFFF0000"/>
      <name val="Verdana"/>
      <family val="2"/>
      <charset val="162"/>
    </font>
    <font>
      <b/>
      <sz val="22"/>
      <color theme="7"/>
      <name val="Verdana"/>
      <family val="2"/>
      <charset val="162"/>
    </font>
    <font>
      <b/>
      <u/>
      <sz val="18"/>
      <color rgb="FFFF0000"/>
      <name val="Calibri"/>
      <family val="2"/>
      <charset val="162"/>
      <scheme val="minor"/>
    </font>
    <font>
      <b/>
      <u/>
      <sz val="16"/>
      <color rgb="FFFF0000"/>
      <name val="Calibri"/>
      <family val="2"/>
      <charset val="162"/>
      <scheme val="minor"/>
    </font>
    <font>
      <b/>
      <sz val="14"/>
      <color rgb="FFFF0000"/>
      <name val="Calibri"/>
      <family val="2"/>
      <charset val="162"/>
      <scheme val="minor"/>
    </font>
    <font>
      <b/>
      <sz val="12"/>
      <color rgb="FFFF0000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b/>
      <sz val="11"/>
      <color rgb="FF002060"/>
      <name val="Calibri"/>
      <family val="2"/>
      <charset val="162"/>
      <scheme val="minor"/>
    </font>
    <font>
      <b/>
      <sz val="16"/>
      <color rgb="FF00B050"/>
      <name val="Calibri"/>
      <family val="2"/>
      <charset val="162"/>
      <scheme val="minor"/>
    </font>
    <font>
      <b/>
      <u/>
      <sz val="16"/>
      <color rgb="FF00B050"/>
      <name val="Calibri"/>
      <family val="2"/>
      <charset val="162"/>
      <scheme val="minor"/>
    </font>
    <font>
      <b/>
      <sz val="18"/>
      <color theme="3" tint="0.39997558519241921"/>
      <name val="Calibri"/>
      <family val="2"/>
      <charset val="162"/>
      <scheme val="minor"/>
    </font>
    <font>
      <b/>
      <sz val="16"/>
      <color theme="3" tint="0.39997558519241921"/>
      <name val="Calibri"/>
      <family val="2"/>
      <charset val="162"/>
      <scheme val="minor"/>
    </font>
    <font>
      <b/>
      <sz val="28"/>
      <name val="Calibri"/>
      <family val="2"/>
      <charset val="204"/>
      <scheme val="minor"/>
    </font>
    <font>
      <b/>
      <sz val="28"/>
      <color rgb="FF7030A0"/>
      <name val="Calibri"/>
      <family val="2"/>
      <charset val="204"/>
      <scheme val="minor"/>
    </font>
    <font>
      <b/>
      <i/>
      <sz val="11"/>
      <color rgb="FF0070C0"/>
      <name val="Verdana"/>
      <family val="2"/>
      <charset val="162"/>
    </font>
    <font>
      <b/>
      <sz val="11"/>
      <color rgb="FF002060"/>
      <name val="Verdana"/>
      <family val="2"/>
      <charset val="162"/>
    </font>
    <font>
      <b/>
      <sz val="28"/>
      <color theme="5"/>
      <name val="Calibri"/>
      <family val="2"/>
      <charset val="162"/>
      <scheme val="minor"/>
    </font>
    <font>
      <b/>
      <sz val="28"/>
      <color rgb="FF002060"/>
      <name val="Calibri"/>
      <family val="2"/>
      <charset val="204"/>
      <scheme val="minor"/>
    </font>
    <font>
      <b/>
      <sz val="24"/>
      <color rgb="FFFFFFFF"/>
      <name val="Verdana"/>
      <family val="2"/>
      <charset val="162"/>
    </font>
    <font>
      <b/>
      <sz val="26"/>
      <color rgb="FFFF0000"/>
      <name val="Calibri"/>
      <family val="2"/>
      <charset val="162"/>
      <scheme val="minor"/>
    </font>
    <font>
      <b/>
      <i/>
      <u/>
      <sz val="20"/>
      <color rgb="FFFF0000"/>
      <name val="Calibri"/>
      <family val="2"/>
      <charset val="162"/>
      <scheme val="minor"/>
    </font>
    <font>
      <b/>
      <sz val="28"/>
      <color rgb="FFC00000"/>
      <name val="Calibri"/>
      <family val="2"/>
      <charset val="162"/>
      <scheme val="minor"/>
    </font>
    <font>
      <b/>
      <sz val="28"/>
      <color rgb="FF00B050"/>
      <name val="Calibri"/>
      <family val="2"/>
      <charset val="162"/>
      <scheme val="minor"/>
    </font>
    <font>
      <b/>
      <sz val="24"/>
      <color rgb="FFC00000"/>
      <name val="Calibri"/>
      <family val="2"/>
      <charset val="162"/>
      <scheme val="minor"/>
    </font>
    <font>
      <b/>
      <sz val="28"/>
      <color rgb="FF0070C0"/>
      <name val="Calibri"/>
      <family val="2"/>
      <charset val="162"/>
      <scheme val="minor"/>
    </font>
    <font>
      <b/>
      <sz val="24"/>
      <color theme="1"/>
      <name val="Calibri"/>
      <family val="2"/>
      <charset val="162"/>
      <scheme val="minor"/>
    </font>
    <font>
      <b/>
      <sz val="28"/>
      <color rgb="FFC00000"/>
      <name val="Calibri"/>
      <family val="2"/>
      <charset val="204"/>
      <scheme val="minor"/>
    </font>
    <font>
      <b/>
      <sz val="22"/>
      <color rgb="FFC00000"/>
      <name val="Calibri"/>
      <family val="2"/>
      <charset val="204"/>
      <scheme val="minor"/>
    </font>
    <font>
      <b/>
      <sz val="14"/>
      <color rgb="FFFFFFFF"/>
      <name val="Verdana"/>
      <family val="2"/>
      <charset val="162"/>
    </font>
    <font>
      <b/>
      <sz val="12"/>
      <color rgb="FFFFFFFF"/>
      <name val="Verdana"/>
      <family val="2"/>
      <charset val="162"/>
    </font>
    <font>
      <b/>
      <sz val="18"/>
      <color rgb="FF0070C0"/>
      <name val="Calibri"/>
      <family val="2"/>
      <charset val="162"/>
      <scheme val="minor"/>
    </font>
    <font>
      <b/>
      <sz val="16"/>
      <color rgb="FF0070C0"/>
      <name val="Calibri"/>
      <family val="2"/>
      <charset val="162"/>
      <scheme val="minor"/>
    </font>
    <font>
      <b/>
      <sz val="20"/>
      <color rgb="FF7030A0"/>
      <name val="Calibri"/>
      <family val="2"/>
      <charset val="162"/>
      <scheme val="minor"/>
    </font>
    <font>
      <b/>
      <sz val="14"/>
      <color rgb="FF7030A0"/>
      <name val="Calibri"/>
      <family val="2"/>
      <charset val="162"/>
      <scheme val="minor"/>
    </font>
    <font>
      <sz val="20"/>
      <color rgb="FF7030A0"/>
      <name val="Calibri"/>
      <family val="2"/>
      <charset val="162"/>
      <scheme val="minor"/>
    </font>
    <font>
      <b/>
      <i/>
      <sz val="14"/>
      <color rgb="FF002060"/>
      <name val="Verdana"/>
      <family val="2"/>
      <charset val="162"/>
    </font>
    <font>
      <b/>
      <sz val="14"/>
      <color theme="0"/>
      <name val="Verdana"/>
      <family val="2"/>
      <charset val="204"/>
    </font>
    <font>
      <b/>
      <sz val="28"/>
      <color theme="8" tint="-0.249977111117893"/>
      <name val="Calibri"/>
      <family val="2"/>
      <charset val="162"/>
      <scheme val="minor"/>
    </font>
    <font>
      <b/>
      <sz val="22"/>
      <color theme="8" tint="-0.249977111117893"/>
      <name val="Calibri"/>
      <family val="2"/>
      <charset val="162"/>
      <scheme val="minor"/>
    </font>
    <font>
      <b/>
      <sz val="24"/>
      <color theme="8" tint="-0.249977111117893"/>
      <name val="Calibri"/>
      <family val="2"/>
      <charset val="162"/>
      <scheme val="minor"/>
    </font>
    <font>
      <b/>
      <sz val="18"/>
      <color theme="8" tint="-0.249977111117893"/>
      <name val="Calibri"/>
      <family val="2"/>
      <charset val="162"/>
      <scheme val="minor"/>
    </font>
    <font>
      <b/>
      <i/>
      <sz val="18"/>
      <color theme="8" tint="-0.249977111117893"/>
      <name val="Calibri"/>
      <family val="2"/>
      <charset val="162"/>
      <scheme val="minor"/>
    </font>
    <font>
      <b/>
      <sz val="20"/>
      <color theme="8" tint="-0.249977111117893"/>
      <name val="Calibri"/>
      <family val="2"/>
      <charset val="162"/>
      <scheme val="minor"/>
    </font>
    <font>
      <b/>
      <sz val="26"/>
      <color rgb="FF7030A0"/>
      <name val="Verdana"/>
      <family val="2"/>
      <charset val="162"/>
    </font>
    <font>
      <b/>
      <sz val="22"/>
      <color rgb="FF7030A0"/>
      <name val="Calibri"/>
      <family val="2"/>
      <charset val="204"/>
      <scheme val="minor"/>
    </font>
    <font>
      <b/>
      <sz val="20"/>
      <color rgb="FF7030A0"/>
      <name val="Calibri"/>
      <family val="2"/>
      <charset val="204"/>
      <scheme val="minor"/>
    </font>
    <font>
      <b/>
      <sz val="14"/>
      <color rgb="FF0070C0"/>
      <name val="Verdana"/>
      <family val="2"/>
      <charset val="162"/>
    </font>
    <font>
      <b/>
      <sz val="16"/>
      <color rgb="FFFFFFFF"/>
      <name val="Verdana"/>
      <family val="2"/>
      <charset val="162"/>
    </font>
    <font>
      <b/>
      <sz val="24"/>
      <color rgb="FF0070C0"/>
      <name val="Verdana"/>
      <family val="2"/>
      <charset val="162"/>
    </font>
    <font>
      <b/>
      <sz val="20"/>
      <color theme="8" tint="-0.249977111117893"/>
      <name val="Verdana"/>
      <family val="2"/>
      <charset val="162"/>
    </font>
    <font>
      <b/>
      <sz val="20"/>
      <color rgb="FFC00000"/>
      <name val="Verdana"/>
      <family val="2"/>
      <charset val="162"/>
    </font>
    <font>
      <b/>
      <i/>
      <sz val="16"/>
      <color rgb="FF002060"/>
      <name val="Verdana"/>
      <family val="2"/>
      <charset val="162"/>
    </font>
    <font>
      <b/>
      <i/>
      <sz val="24"/>
      <color rgb="FFC00000"/>
      <name val="Calibri"/>
      <family val="2"/>
      <charset val="162"/>
      <scheme val="minor"/>
    </font>
    <font>
      <b/>
      <sz val="36"/>
      <color rgb="FF002060"/>
      <name val="Calibri"/>
      <family val="2"/>
      <charset val="162"/>
      <scheme val="minor"/>
    </font>
    <font>
      <b/>
      <sz val="28"/>
      <color theme="7"/>
      <name val="Calibri"/>
      <family val="2"/>
      <charset val="204"/>
      <scheme val="minor"/>
    </font>
    <font>
      <b/>
      <sz val="36"/>
      <color theme="7"/>
      <name val="Calibri"/>
      <family val="2"/>
      <charset val="16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365D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16DC8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 style="thin">
        <color indexed="64"/>
      </left>
      <right/>
      <top style="thick">
        <color rgb="FFFF0000"/>
      </top>
      <bottom/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 style="thin">
        <color indexed="64"/>
      </bottom>
      <diagonal/>
    </border>
    <border>
      <left style="thick">
        <color rgb="FFFF0000"/>
      </left>
      <right/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n">
        <color indexed="64"/>
      </top>
      <bottom style="thick">
        <color rgb="FFFF0000"/>
      </bottom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/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/>
      <right style="thick">
        <color rgb="FFFF0000"/>
      </right>
      <top style="thin">
        <color indexed="64"/>
      </top>
      <bottom style="thick">
        <color rgb="FFFF0000"/>
      </bottom>
      <diagonal/>
    </border>
    <border>
      <left/>
      <right style="thick">
        <color rgb="FFFF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rgb="FFFF0000"/>
      </right>
      <top/>
      <bottom style="thin">
        <color indexed="64"/>
      </bottom>
      <diagonal/>
    </border>
    <border>
      <left style="thin">
        <color indexed="64"/>
      </left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ck">
        <color theme="5"/>
      </left>
      <right style="thin">
        <color indexed="64"/>
      </right>
      <top style="thick">
        <color theme="5"/>
      </top>
      <bottom/>
      <diagonal/>
    </border>
    <border>
      <left style="thin">
        <color indexed="64"/>
      </left>
      <right style="thin">
        <color indexed="64"/>
      </right>
      <top style="thick">
        <color theme="5"/>
      </top>
      <bottom/>
      <diagonal/>
    </border>
    <border>
      <left style="thin">
        <color indexed="64"/>
      </left>
      <right style="thick">
        <color theme="5"/>
      </right>
      <top style="thick">
        <color theme="5"/>
      </top>
      <bottom/>
      <diagonal/>
    </border>
    <border>
      <left style="thick">
        <color theme="5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ck">
        <color rgb="FFFF0000"/>
      </top>
      <bottom style="thin">
        <color indexed="64"/>
      </bottom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ck">
        <color rgb="FFFF0000"/>
      </bottom>
      <diagonal/>
    </border>
    <border>
      <left style="thick">
        <color theme="5"/>
      </left>
      <right style="thin">
        <color indexed="64"/>
      </right>
      <top/>
      <bottom style="thick">
        <color theme="5"/>
      </bottom>
      <diagonal/>
    </border>
    <border>
      <left style="thin">
        <color indexed="64"/>
      </left>
      <right style="thin">
        <color indexed="64"/>
      </right>
      <top/>
      <bottom style="thick">
        <color theme="5"/>
      </bottom>
      <diagonal/>
    </border>
    <border>
      <left style="thin">
        <color indexed="64"/>
      </left>
      <right style="thick">
        <color theme="5"/>
      </right>
      <top/>
      <bottom style="thick">
        <color theme="5"/>
      </bottom>
      <diagonal/>
    </border>
    <border>
      <left style="thick">
        <color theme="5"/>
      </left>
      <right style="thin">
        <color indexed="64"/>
      </right>
      <top style="thick">
        <color theme="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theme="5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ck">
        <color theme="5"/>
      </top>
      <bottom style="thin">
        <color indexed="64"/>
      </bottom>
      <diagonal/>
    </border>
    <border>
      <left style="thick">
        <color theme="5"/>
      </left>
      <right/>
      <top/>
      <bottom style="thick">
        <color theme="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5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127">
    <xf numFmtId="0" fontId="0" fillId="0" borderId="0" xfId="0"/>
    <xf numFmtId="0" fontId="2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 applyBorder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 shrinkToFit="1"/>
    </xf>
    <xf numFmtId="0" fontId="0" fillId="0" borderId="0" xfId="0" applyFill="1" applyBorder="1"/>
    <xf numFmtId="0" fontId="24" fillId="0" borderId="0" xfId="0" applyFont="1" applyFill="1" applyBorder="1" applyAlignment="1">
      <alignment vertical="center"/>
    </xf>
    <xf numFmtId="0" fontId="30" fillId="0" borderId="0" xfId="0" applyFont="1" applyAlignment="1">
      <alignment vertical="center"/>
    </xf>
    <xf numFmtId="0" fontId="0" fillId="0" borderId="0" xfId="0" applyAlignment="1">
      <alignment shrinkToFit="1"/>
    </xf>
    <xf numFmtId="0" fontId="32" fillId="4" borderId="0" xfId="0" applyFont="1" applyFill="1" applyAlignment="1">
      <alignment horizontal="center" vertical="center" shrinkToFit="1"/>
    </xf>
    <xf numFmtId="0" fontId="33" fillId="0" borderId="0" xfId="0" applyFont="1" applyAlignment="1">
      <alignment vertical="center" shrinkToFit="1"/>
    </xf>
    <xf numFmtId="3" fontId="35" fillId="10" borderId="1" xfId="0" applyNumberFormat="1" applyFont="1" applyFill="1" applyBorder="1" applyAlignment="1">
      <alignment vertical="center" shrinkToFit="1"/>
    </xf>
    <xf numFmtId="3" fontId="35" fillId="11" borderId="1" xfId="0" applyNumberFormat="1" applyFont="1" applyFill="1" applyBorder="1" applyAlignment="1">
      <alignment vertical="center" shrinkToFit="1"/>
    </xf>
    <xf numFmtId="3" fontId="35" fillId="7" borderId="1" xfId="0" applyNumberFormat="1" applyFont="1" applyFill="1" applyBorder="1" applyAlignment="1">
      <alignment vertical="center" shrinkToFit="1"/>
    </xf>
    <xf numFmtId="3" fontId="35" fillId="15" borderId="1" xfId="0" applyNumberFormat="1" applyFont="1" applyFill="1" applyBorder="1" applyAlignment="1">
      <alignment vertical="center" shrinkToFit="1"/>
    </xf>
    <xf numFmtId="0" fontId="0" fillId="0" borderId="0" xfId="0" applyAlignment="1">
      <alignment horizontal="center" vertical="center"/>
    </xf>
    <xf numFmtId="0" fontId="33" fillId="18" borderId="0" xfId="0" applyFont="1" applyFill="1" applyAlignment="1">
      <alignment vertical="center" shrinkToFit="1"/>
    </xf>
    <xf numFmtId="0" fontId="32" fillId="5" borderId="0" xfId="0" applyFont="1" applyFill="1" applyAlignment="1">
      <alignment horizontal="center" vertical="center" shrinkToFit="1"/>
    </xf>
    <xf numFmtId="3" fontId="32" fillId="5" borderId="0" xfId="0" applyNumberFormat="1" applyFont="1" applyFill="1" applyAlignment="1">
      <alignment horizontal="center" vertical="center" shrinkToFit="1"/>
    </xf>
    <xf numFmtId="3" fontId="40" fillId="0" borderId="1" xfId="0" applyNumberFormat="1" applyFont="1" applyFill="1" applyBorder="1" applyAlignment="1">
      <alignment horizontal="left" vertical="center"/>
    </xf>
    <xf numFmtId="3" fontId="41" fillId="0" borderId="1" xfId="0" applyNumberFormat="1" applyFont="1" applyFill="1" applyBorder="1" applyAlignment="1">
      <alignment horizontal="right" vertical="center"/>
    </xf>
    <xf numFmtId="0" fontId="42" fillId="0" borderId="0" xfId="0" applyFont="1"/>
    <xf numFmtId="0" fontId="20" fillId="0" borderId="0" xfId="0" quotePrefix="1" applyFont="1" applyFill="1" applyBorder="1" applyAlignment="1">
      <alignment horizontal="left" vertical="center" wrapText="1" indent="1"/>
    </xf>
    <xf numFmtId="0" fontId="19" fillId="0" borderId="0" xfId="0" quotePrefix="1" applyFont="1" applyFill="1" applyBorder="1" applyAlignment="1">
      <alignment horizontal="left" vertical="center" wrapText="1" indent="1"/>
    </xf>
    <xf numFmtId="0" fontId="29" fillId="0" borderId="0" xfId="0" applyFont="1" applyFill="1" applyBorder="1" applyAlignment="1">
      <alignment vertical="center"/>
    </xf>
    <xf numFmtId="0" fontId="30" fillId="0" borderId="0" xfId="0" applyFont="1" applyFill="1" applyBorder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54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60" fillId="0" borderId="0" xfId="0" applyFont="1" applyAlignment="1">
      <alignment vertical="center"/>
    </xf>
    <xf numFmtId="0" fontId="62" fillId="0" borderId="0" xfId="0" applyFont="1" applyAlignment="1">
      <alignment vertical="center"/>
    </xf>
    <xf numFmtId="0" fontId="12" fillId="0" borderId="0" xfId="0" applyFont="1" applyAlignment="1">
      <alignment horizontal="left" vertical="center" shrinkToFit="1"/>
    </xf>
    <xf numFmtId="0" fontId="16" fillId="0" borderId="0" xfId="0" applyFont="1" applyAlignment="1">
      <alignment horizontal="center" shrinkToFit="1"/>
    </xf>
    <xf numFmtId="0" fontId="25" fillId="0" borderId="0" xfId="0" applyFont="1" applyAlignment="1">
      <alignment vertical="center"/>
    </xf>
    <xf numFmtId="0" fontId="63" fillId="0" borderId="1" xfId="0" applyFont="1" applyBorder="1" applyAlignment="1">
      <alignment vertical="center"/>
    </xf>
    <xf numFmtId="0" fontId="17" fillId="6" borderId="0" xfId="1" applyFont="1" applyFill="1" applyAlignment="1" applyProtection="1">
      <alignment horizontal="center" vertical="center" shrinkToFit="1"/>
      <protection locked="0"/>
    </xf>
    <xf numFmtId="0" fontId="16" fillId="0" borderId="0" xfId="0" applyFont="1" applyAlignment="1">
      <alignment vertical="center" shrinkToFit="1"/>
    </xf>
    <xf numFmtId="0" fontId="63" fillId="0" borderId="11" xfId="0" applyFont="1" applyBorder="1" applyAlignment="1">
      <alignment vertical="center"/>
    </xf>
    <xf numFmtId="0" fontId="63" fillId="0" borderId="12" xfId="0" applyFont="1" applyBorder="1" applyAlignment="1">
      <alignment vertical="center"/>
    </xf>
    <xf numFmtId="0" fontId="2" fillId="0" borderId="0" xfId="0" applyFont="1" applyAlignment="1">
      <alignment horizontal="left" vertical="center" indent="1"/>
    </xf>
    <xf numFmtId="3" fontId="76" fillId="0" borderId="1" xfId="0" applyNumberFormat="1" applyFont="1" applyFill="1" applyBorder="1" applyAlignment="1">
      <alignment horizontal="center" vertical="center"/>
    </xf>
    <xf numFmtId="0" fontId="78" fillId="0" borderId="0" xfId="0" applyFont="1"/>
    <xf numFmtId="0" fontId="81" fillId="0" borderId="0" xfId="0" applyFont="1" applyAlignment="1">
      <alignment vertical="center"/>
    </xf>
    <xf numFmtId="3" fontId="82" fillId="0" borderId="0" xfId="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left"/>
    </xf>
    <xf numFmtId="0" fontId="42" fillId="0" borderId="0" xfId="0" applyFont="1" applyAlignment="1">
      <alignment vertical="center"/>
    </xf>
    <xf numFmtId="0" fontId="5" fillId="0" borderId="0" xfId="0" applyFont="1" applyAlignment="1">
      <alignment vertical="center" shrinkToFit="1"/>
    </xf>
    <xf numFmtId="0" fontId="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0" fillId="0" borderId="0" xfId="0" quotePrefix="1" applyNumberFormat="1" applyFont="1" applyFill="1" applyBorder="1" applyAlignment="1">
      <alignment horizontal="left" vertical="center" wrapText="1" indent="1"/>
    </xf>
    <xf numFmtId="3" fontId="20" fillId="0" borderId="0" xfId="0" quotePrefix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72" fillId="0" borderId="0" xfId="0" applyFont="1" applyAlignment="1">
      <alignment vertical="center"/>
    </xf>
    <xf numFmtId="3" fontId="44" fillId="0" borderId="0" xfId="0" applyNumberFormat="1" applyFont="1" applyAlignment="1">
      <alignment vertical="center"/>
    </xf>
    <xf numFmtId="0" fontId="94" fillId="0" borderId="0" xfId="1" applyFont="1" applyAlignment="1" applyProtection="1">
      <alignment horizontal="center" vertical="center"/>
      <protection locked="0"/>
    </xf>
    <xf numFmtId="0" fontId="74" fillId="0" borderId="0" xfId="0" applyFont="1" applyAlignment="1">
      <alignment vertical="center"/>
    </xf>
    <xf numFmtId="3" fontId="95" fillId="0" borderId="0" xfId="0" applyNumberFormat="1" applyFont="1" applyFill="1" applyBorder="1" applyAlignment="1">
      <alignment horizontal="center" vertical="center"/>
    </xf>
    <xf numFmtId="0" fontId="98" fillId="0" borderId="0" xfId="0" applyFont="1" applyAlignment="1">
      <alignment vertical="center"/>
    </xf>
    <xf numFmtId="0" fontId="104" fillId="0" borderId="0" xfId="0" applyFont="1" applyAlignment="1">
      <alignment vertical="center"/>
    </xf>
    <xf numFmtId="0" fontId="106" fillId="0" borderId="0" xfId="0" applyFont="1" applyAlignment="1">
      <alignment vertical="center"/>
    </xf>
    <xf numFmtId="0" fontId="33" fillId="0" borderId="0" xfId="0" applyFont="1"/>
    <xf numFmtId="0" fontId="25" fillId="0" borderId="0" xfId="0" applyFont="1"/>
    <xf numFmtId="0" fontId="88" fillId="0" borderId="0" xfId="0" applyFont="1" applyAlignment="1">
      <alignment vertical="center"/>
    </xf>
    <xf numFmtId="0" fontId="42" fillId="0" borderId="0" xfId="0" applyFont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5" fillId="0" borderId="0" xfId="0" applyFont="1" applyAlignment="1">
      <alignment vertical="center"/>
    </xf>
    <xf numFmtId="0" fontId="126" fillId="41" borderId="0" xfId="0" applyFont="1" applyFill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105" fillId="0" borderId="0" xfId="0" applyFont="1" applyAlignment="1">
      <alignment vertical="center"/>
    </xf>
    <xf numFmtId="0" fontId="5" fillId="8" borderId="0" xfId="0" applyFont="1" applyFill="1"/>
    <xf numFmtId="0" fontId="5" fillId="0" borderId="0" xfId="0" applyFont="1" applyAlignment="1">
      <alignment horizontal="center" vertical="center"/>
    </xf>
    <xf numFmtId="14" fontId="5" fillId="0" borderId="0" xfId="0" applyNumberFormat="1" applyFont="1"/>
    <xf numFmtId="14" fontId="25" fillId="0" borderId="0" xfId="0" applyNumberFormat="1" applyFont="1"/>
    <xf numFmtId="14" fontId="130" fillId="0" borderId="0" xfId="0" applyNumberFormat="1" applyFont="1"/>
    <xf numFmtId="0" fontId="130" fillId="0" borderId="0" xfId="0" applyFont="1"/>
    <xf numFmtId="14" fontId="5" fillId="0" borderId="0" xfId="0" applyNumberFormat="1" applyFont="1" applyBorder="1"/>
    <xf numFmtId="14" fontId="130" fillId="21" borderId="0" xfId="0" applyNumberFormat="1" applyFont="1" applyFill="1"/>
    <xf numFmtId="14" fontId="5" fillId="21" borderId="0" xfId="0" applyNumberFormat="1" applyFont="1" applyFill="1"/>
    <xf numFmtId="14" fontId="130" fillId="0" borderId="0" xfId="0" applyNumberFormat="1" applyFont="1" applyBorder="1"/>
    <xf numFmtId="14" fontId="5" fillId="8" borderId="0" xfId="0" applyNumberFormat="1" applyFont="1" applyFill="1"/>
    <xf numFmtId="0" fontId="130" fillId="21" borderId="0" xfId="0" applyFont="1" applyFill="1"/>
    <xf numFmtId="14" fontId="5" fillId="13" borderId="0" xfId="0" applyNumberFormat="1" applyFont="1" applyFill="1" applyBorder="1"/>
    <xf numFmtId="14" fontId="130" fillId="13" borderId="0" xfId="0" applyNumberFormat="1" applyFont="1" applyFill="1" applyBorder="1"/>
    <xf numFmtId="14" fontId="106" fillId="21" borderId="1" xfId="0" applyNumberFormat="1" applyFont="1" applyFill="1" applyBorder="1" applyAlignment="1">
      <alignment horizontal="center" vertical="center"/>
    </xf>
    <xf numFmtId="14" fontId="133" fillId="8" borderId="1" xfId="0" applyNumberFormat="1" applyFont="1" applyFill="1" applyBorder="1" applyAlignment="1">
      <alignment horizontal="center" vertical="center" wrapText="1"/>
    </xf>
    <xf numFmtId="3" fontId="39" fillId="0" borderId="10" xfId="0" applyNumberFormat="1" applyFont="1" applyFill="1" applyBorder="1" applyAlignment="1">
      <alignment horizontal="center" vertical="center" shrinkToFit="1"/>
    </xf>
    <xf numFmtId="4" fontId="134" fillId="0" borderId="10" xfId="0" applyNumberFormat="1" applyFont="1" applyFill="1" applyBorder="1" applyAlignment="1">
      <alignment horizontal="right" vertical="center" shrinkToFit="1"/>
    </xf>
    <xf numFmtId="0" fontId="39" fillId="0" borderId="4" xfId="0" applyNumberFormat="1" applyFont="1" applyFill="1" applyBorder="1" applyAlignment="1">
      <alignment horizontal="center" vertical="center" shrinkToFit="1"/>
    </xf>
    <xf numFmtId="14" fontId="39" fillId="0" borderId="12" xfId="0" applyNumberFormat="1" applyFont="1" applyFill="1" applyBorder="1" applyAlignment="1">
      <alignment horizontal="center" vertical="center" shrinkToFit="1"/>
    </xf>
    <xf numFmtId="20" fontId="39" fillId="0" borderId="12" xfId="0" applyNumberFormat="1" applyFont="1" applyFill="1" applyBorder="1" applyAlignment="1">
      <alignment horizontal="center" vertical="center" shrinkToFit="1"/>
    </xf>
    <xf numFmtId="0" fontId="135" fillId="0" borderId="0" xfId="0" applyFont="1" applyAlignment="1">
      <alignment horizontal="center" vertical="center"/>
    </xf>
    <xf numFmtId="20" fontId="0" fillId="0" borderId="0" xfId="0" applyNumberFormat="1" applyAlignment="1">
      <alignment vertical="center"/>
    </xf>
    <xf numFmtId="0" fontId="23" fillId="0" borderId="0" xfId="0" applyFont="1" applyAlignment="1">
      <alignment horizontal="left" vertical="center" shrinkToFit="1"/>
    </xf>
    <xf numFmtId="0" fontId="136" fillId="0" borderId="0" xfId="0" applyFont="1" applyAlignment="1">
      <alignment horizontal="left"/>
    </xf>
    <xf numFmtId="0" fontId="136" fillId="0" borderId="0" xfId="0" applyFont="1"/>
    <xf numFmtId="0" fontId="141" fillId="0" borderId="0" xfId="0" applyFont="1"/>
    <xf numFmtId="0" fontId="136" fillId="0" borderId="0" xfId="0" applyFont="1" applyBorder="1"/>
    <xf numFmtId="0" fontId="142" fillId="0" borderId="0" xfId="0" applyFont="1"/>
    <xf numFmtId="0" fontId="67" fillId="3" borderId="1" xfId="0" applyFont="1" applyFill="1" applyBorder="1" applyAlignment="1">
      <alignment horizontal="center" vertical="center"/>
    </xf>
    <xf numFmtId="0" fontId="0" fillId="16" borderId="0" xfId="0" applyFill="1" applyBorder="1" applyAlignment="1">
      <alignment vertical="center"/>
    </xf>
    <xf numFmtId="0" fontId="70" fillId="3" borderId="0" xfId="0" applyFont="1" applyFill="1" applyAlignment="1">
      <alignment horizontal="left" vertical="center" indent="1" shrinkToFit="1"/>
    </xf>
    <xf numFmtId="0" fontId="147" fillId="0" borderId="0" xfId="0" applyFont="1" applyBorder="1"/>
    <xf numFmtId="0" fontId="64" fillId="0" borderId="1" xfId="0" applyFont="1" applyBorder="1" applyAlignment="1">
      <alignment horizontal="center" vertical="center"/>
    </xf>
    <xf numFmtId="14" fontId="64" fillId="0" borderId="1" xfId="0" applyNumberFormat="1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0" fontId="132" fillId="0" borderId="1" xfId="0" applyFont="1" applyBorder="1" applyAlignment="1">
      <alignment horizontal="center" vertical="center"/>
    </xf>
    <xf numFmtId="0" fontId="38" fillId="19" borderId="3" xfId="0" applyFont="1" applyFill="1" applyBorder="1" applyAlignment="1">
      <alignment horizontal="center" vertical="center" wrapText="1"/>
    </xf>
    <xf numFmtId="3" fontId="39" fillId="0" borderId="2" xfId="0" applyNumberFormat="1" applyFont="1" applyFill="1" applyBorder="1" applyAlignment="1">
      <alignment horizontal="center" vertical="center"/>
    </xf>
    <xf numFmtId="3" fontId="3" fillId="4" borderId="12" xfId="0" applyNumberFormat="1" applyFont="1" applyFill="1" applyBorder="1" applyAlignment="1">
      <alignment horizontal="center" vertical="center"/>
    </xf>
    <xf numFmtId="3" fontId="3" fillId="4" borderId="12" xfId="0" applyNumberFormat="1" applyFont="1" applyFill="1" applyBorder="1" applyAlignment="1">
      <alignment horizontal="right" vertical="center" shrinkToFit="1"/>
    </xf>
    <xf numFmtId="0" fontId="3" fillId="19" borderId="20" xfId="0" applyFont="1" applyFill="1" applyBorder="1" applyAlignment="1">
      <alignment horizontal="center" vertical="center"/>
    </xf>
    <xf numFmtId="49" fontId="14" fillId="19" borderId="21" xfId="0" applyNumberFormat="1" applyFont="1" applyFill="1" applyBorder="1" applyAlignment="1">
      <alignment horizontal="center" vertical="center" wrapText="1"/>
    </xf>
    <xf numFmtId="49" fontId="14" fillId="19" borderId="22" xfId="0" applyNumberFormat="1" applyFont="1" applyFill="1" applyBorder="1" applyAlignment="1">
      <alignment horizontal="center" vertical="center" wrapText="1"/>
    </xf>
    <xf numFmtId="3" fontId="40" fillId="0" borderId="23" xfId="0" applyNumberFormat="1" applyFont="1" applyFill="1" applyBorder="1" applyAlignment="1">
      <alignment horizontal="left" vertical="center"/>
    </xf>
    <xf numFmtId="3" fontId="41" fillId="0" borderId="24" xfId="0" applyNumberFormat="1" applyFont="1" applyFill="1" applyBorder="1" applyAlignment="1">
      <alignment horizontal="right" vertical="center"/>
    </xf>
    <xf numFmtId="3" fontId="41" fillId="11" borderId="24" xfId="0" applyNumberFormat="1" applyFont="1" applyFill="1" applyBorder="1" applyAlignment="1">
      <alignment horizontal="right" vertical="center"/>
    </xf>
    <xf numFmtId="3" fontId="40" fillId="11" borderId="25" xfId="0" applyNumberFormat="1" applyFont="1" applyFill="1" applyBorder="1" applyAlignment="1">
      <alignment horizontal="left" vertical="center"/>
    </xf>
    <xf numFmtId="3" fontId="41" fillId="11" borderId="26" xfId="0" applyNumberFormat="1" applyFont="1" applyFill="1" applyBorder="1" applyAlignment="1">
      <alignment horizontal="right" vertical="center"/>
    </xf>
    <xf numFmtId="3" fontId="41" fillId="11" borderId="27" xfId="0" applyNumberFormat="1" applyFont="1" applyFill="1" applyBorder="1" applyAlignment="1">
      <alignment horizontal="right" vertical="center"/>
    </xf>
    <xf numFmtId="0" fontId="6" fillId="0" borderId="1" xfId="0" applyNumberFormat="1" applyFont="1" applyFill="1" applyBorder="1" applyAlignment="1">
      <alignment vertical="center" shrinkToFit="1"/>
    </xf>
    <xf numFmtId="0" fontId="150" fillId="42" borderId="0" xfId="0" applyFont="1" applyFill="1"/>
    <xf numFmtId="14" fontId="150" fillId="42" borderId="0" xfId="0" applyNumberFormat="1" applyFont="1" applyFill="1"/>
    <xf numFmtId="0" fontId="0" fillId="42" borderId="0" xfId="0" applyFill="1" applyAlignment="1">
      <alignment horizontal="center" vertical="center"/>
    </xf>
    <xf numFmtId="14" fontId="25" fillId="0" borderId="0" xfId="0" applyNumberFormat="1" applyFont="1" applyBorder="1"/>
    <xf numFmtId="14" fontId="103" fillId="13" borderId="1" xfId="0" applyNumberFormat="1" applyFont="1" applyFill="1" applyBorder="1" applyAlignment="1">
      <alignment horizontal="center" vertical="center"/>
    </xf>
    <xf numFmtId="14" fontId="97" fillId="13" borderId="1" xfId="0" applyNumberFormat="1" applyFont="1" applyFill="1" applyBorder="1" applyAlignment="1">
      <alignment horizontal="center" vertical="center"/>
    </xf>
    <xf numFmtId="14" fontId="131" fillId="23" borderId="0" xfId="0" applyNumberFormat="1" applyFont="1" applyFill="1" applyBorder="1" applyAlignment="1">
      <alignment horizontal="center" vertical="center" wrapText="1"/>
    </xf>
    <xf numFmtId="14" fontId="132" fillId="42" borderId="1" xfId="0" applyNumberFormat="1" applyFont="1" applyFill="1" applyBorder="1" applyAlignment="1">
      <alignment horizontal="center" vertical="center" wrapText="1"/>
    </xf>
    <xf numFmtId="0" fontId="37" fillId="0" borderId="0" xfId="0" quotePrefix="1" applyFont="1" applyAlignment="1">
      <alignment horizontal="right" vertical="center"/>
    </xf>
    <xf numFmtId="0" fontId="151" fillId="0" borderId="0" xfId="0" quotePrefix="1" applyFont="1" applyAlignment="1">
      <alignment horizontal="right" vertical="center"/>
    </xf>
    <xf numFmtId="0" fontId="96" fillId="36" borderId="1" xfId="0" quotePrefix="1" applyNumberFormat="1" applyFont="1" applyFill="1" applyBorder="1" applyAlignment="1">
      <alignment horizontal="center" vertical="center" shrinkToFit="1"/>
    </xf>
    <xf numFmtId="0" fontId="96" fillId="36" borderId="2" xfId="0" quotePrefix="1" applyNumberFormat="1" applyFont="1" applyFill="1" applyBorder="1" applyAlignment="1">
      <alignment horizontal="center" vertical="center" shrinkToFit="1"/>
    </xf>
    <xf numFmtId="14" fontId="153" fillId="21" borderId="1" xfId="0" applyNumberFormat="1" applyFont="1" applyFill="1" applyBorder="1" applyAlignment="1">
      <alignment horizontal="center" vertical="center"/>
    </xf>
    <xf numFmtId="14" fontId="153" fillId="8" borderId="1" xfId="0" applyNumberFormat="1" applyFont="1" applyFill="1" applyBorder="1" applyAlignment="1">
      <alignment horizontal="center" vertical="center"/>
    </xf>
    <xf numFmtId="0" fontId="84" fillId="8" borderId="20" xfId="0" applyFont="1" applyFill="1" applyBorder="1" applyAlignment="1">
      <alignment horizontal="center" vertical="center"/>
    </xf>
    <xf numFmtId="49" fontId="85" fillId="8" borderId="22" xfId="0" applyNumberFormat="1" applyFont="1" applyFill="1" applyBorder="1" applyAlignment="1">
      <alignment horizontal="center" vertical="center" wrapText="1"/>
    </xf>
    <xf numFmtId="3" fontId="40" fillId="0" borderId="23" xfId="0" applyNumberFormat="1" applyFont="1" applyFill="1" applyBorder="1" applyAlignment="1">
      <alignment horizontal="left" vertical="center" shrinkToFit="1"/>
    </xf>
    <xf numFmtId="3" fontId="40" fillId="11" borderId="23" xfId="0" applyNumberFormat="1" applyFont="1" applyFill="1" applyBorder="1" applyAlignment="1">
      <alignment horizontal="left" vertical="center" shrinkToFit="1"/>
    </xf>
    <xf numFmtId="3" fontId="40" fillId="11" borderId="25" xfId="0" applyNumberFormat="1" applyFont="1" applyFill="1" applyBorder="1" applyAlignment="1">
      <alignment horizontal="left" vertical="center" shrinkToFit="1"/>
    </xf>
    <xf numFmtId="0" fontId="3" fillId="9" borderId="20" xfId="0" applyFont="1" applyFill="1" applyBorder="1" applyAlignment="1">
      <alignment horizontal="center" vertical="center"/>
    </xf>
    <xf numFmtId="49" fontId="14" fillId="9" borderId="21" xfId="0" applyNumberFormat="1" applyFont="1" applyFill="1" applyBorder="1" applyAlignment="1">
      <alignment horizontal="center" vertical="center" wrapText="1"/>
    </xf>
    <xf numFmtId="49" fontId="14" fillId="9" borderId="22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left" indent="2"/>
    </xf>
    <xf numFmtId="0" fontId="92" fillId="0" borderId="3" xfId="0" quotePrefix="1" applyFont="1" applyBorder="1" applyAlignment="1">
      <alignment horizontal="left"/>
    </xf>
    <xf numFmtId="0" fontId="154" fillId="0" borderId="3" xfId="0" quotePrefix="1" applyFont="1" applyBorder="1" applyAlignment="1">
      <alignment horizontal="left"/>
    </xf>
    <xf numFmtId="0" fontId="155" fillId="0" borderId="3" xfId="0" quotePrefix="1" applyFont="1" applyBorder="1" applyAlignment="1">
      <alignment horizontal="left"/>
    </xf>
    <xf numFmtId="0" fontId="101" fillId="0" borderId="0" xfId="0" applyFont="1" applyAlignment="1">
      <alignment shrinkToFit="1"/>
    </xf>
    <xf numFmtId="165" fontId="100" fillId="2" borderId="1" xfId="0" applyNumberFormat="1" applyFont="1" applyFill="1" applyBorder="1" applyAlignment="1">
      <alignment horizontal="center" vertical="center" shrinkToFit="1"/>
    </xf>
    <xf numFmtId="165" fontId="102" fillId="31" borderId="1" xfId="0" applyNumberFormat="1" applyFont="1" applyFill="1" applyBorder="1" applyAlignment="1">
      <alignment horizontal="center" vertical="center" shrinkToFit="1"/>
    </xf>
    <xf numFmtId="0" fontId="38" fillId="33" borderId="1" xfId="0" applyFont="1" applyFill="1" applyBorder="1" applyAlignment="1">
      <alignment horizontal="center" vertical="center" shrinkToFit="1"/>
    </xf>
    <xf numFmtId="164" fontId="102" fillId="29" borderId="1" xfId="0" applyNumberFormat="1" applyFont="1" applyFill="1" applyBorder="1" applyAlignment="1">
      <alignment horizontal="center" vertical="center" shrinkToFit="1"/>
    </xf>
    <xf numFmtId="165" fontId="102" fillId="29" borderId="1" xfId="0" applyNumberFormat="1" applyFont="1" applyFill="1" applyBorder="1" applyAlignment="1">
      <alignment horizontal="center" vertical="center" shrinkToFit="1"/>
    </xf>
    <xf numFmtId="0" fontId="15" fillId="22" borderId="1" xfId="0" applyFont="1" applyFill="1" applyBorder="1" applyAlignment="1">
      <alignment horizontal="center" vertical="center" shrinkToFit="1"/>
    </xf>
    <xf numFmtId="0" fontId="97" fillId="36" borderId="11" xfId="0" applyNumberFormat="1" applyFont="1" applyFill="1" applyBorder="1" applyAlignment="1">
      <alignment vertical="center" shrinkToFit="1"/>
    </xf>
    <xf numFmtId="2" fontId="4" fillId="0" borderId="1" xfId="0" quotePrefix="1" applyNumberFormat="1" applyFont="1" applyFill="1" applyBorder="1" applyAlignment="1">
      <alignment vertical="center" shrinkToFit="1"/>
    </xf>
    <xf numFmtId="4" fontId="107" fillId="37" borderId="1" xfId="0" applyNumberFormat="1" applyFont="1" applyFill="1" applyBorder="1" applyAlignment="1">
      <alignment vertical="center" shrinkToFit="1"/>
    </xf>
    <xf numFmtId="4" fontId="107" fillId="37" borderId="2" xfId="0" applyNumberFormat="1" applyFont="1" applyFill="1" applyBorder="1" applyAlignment="1">
      <alignment vertical="center" shrinkToFit="1"/>
    </xf>
    <xf numFmtId="0" fontId="104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Fill="1" applyBorder="1" applyAlignment="1">
      <alignment shrinkToFit="1"/>
    </xf>
    <xf numFmtId="3" fontId="49" fillId="0" borderId="1" xfId="0" applyNumberFormat="1" applyFont="1" applyFill="1" applyBorder="1" applyAlignment="1">
      <alignment horizontal="right" vertical="center" shrinkToFit="1"/>
    </xf>
    <xf numFmtId="3" fontId="91" fillId="0" borderId="1" xfId="0" applyNumberFormat="1" applyFont="1" applyFill="1" applyBorder="1" applyAlignment="1">
      <alignment horizontal="right" vertical="center" shrinkToFit="1"/>
    </xf>
    <xf numFmtId="0" fontId="19" fillId="0" borderId="0" xfId="0" quotePrefix="1" applyFont="1" applyFill="1" applyBorder="1" applyAlignment="1">
      <alignment horizontal="left" vertical="center" shrinkToFit="1"/>
    </xf>
    <xf numFmtId="0" fontId="20" fillId="0" borderId="0" xfId="0" quotePrefix="1" applyFont="1" applyFill="1" applyBorder="1" applyAlignment="1">
      <alignment horizontal="left" vertical="center" shrinkToFit="1"/>
    </xf>
    <xf numFmtId="0" fontId="93" fillId="11" borderId="1" xfId="0" applyFont="1" applyFill="1" applyBorder="1" applyAlignment="1">
      <alignment horizontal="center" vertical="center" shrinkToFit="1"/>
    </xf>
    <xf numFmtId="0" fontId="2" fillId="0" borderId="0" xfId="0" applyFont="1" applyAlignment="1">
      <alignment vertical="center" shrinkToFit="1"/>
    </xf>
    <xf numFmtId="0" fontId="15" fillId="31" borderId="1" xfId="0" applyFont="1" applyFill="1" applyBorder="1" applyAlignment="1">
      <alignment horizontal="center" vertical="center" shrinkToFit="1"/>
    </xf>
    <xf numFmtId="0" fontId="3" fillId="31" borderId="1" xfId="0" applyFont="1" applyFill="1" applyBorder="1" applyAlignment="1">
      <alignment horizontal="center" vertical="center" shrinkToFit="1"/>
    </xf>
    <xf numFmtId="0" fontId="18" fillId="0" borderId="10" xfId="0" applyNumberFormat="1" applyFont="1" applyFill="1" applyBorder="1" applyAlignment="1">
      <alignment horizontal="left" vertical="center" shrinkToFit="1"/>
    </xf>
    <xf numFmtId="0" fontId="3" fillId="43" borderId="1" xfId="0" applyFont="1" applyFill="1" applyBorder="1" applyAlignment="1">
      <alignment horizontal="center" vertical="center" shrinkToFit="1"/>
    </xf>
    <xf numFmtId="0" fontId="18" fillId="42" borderId="12" xfId="0" applyNumberFormat="1" applyFont="1" applyFill="1" applyBorder="1" applyAlignment="1">
      <alignment horizontal="left" vertical="center" shrinkToFit="1"/>
    </xf>
    <xf numFmtId="3" fontId="90" fillId="42" borderId="1" xfId="0" applyNumberFormat="1" applyFont="1" applyFill="1" applyBorder="1" applyAlignment="1">
      <alignment horizontal="center" vertical="center" shrinkToFit="1"/>
    </xf>
    <xf numFmtId="3" fontId="18" fillId="42" borderId="1" xfId="0" applyNumberFormat="1" applyFont="1" applyFill="1" applyBorder="1" applyAlignment="1">
      <alignment horizontal="right" vertical="center" shrinkToFit="1"/>
    </xf>
    <xf numFmtId="3" fontId="41" fillId="0" borderId="0" xfId="0" applyNumberFormat="1" applyFont="1" applyFill="1" applyBorder="1" applyAlignment="1">
      <alignment horizontal="right" vertical="center" shrinkToFit="1"/>
    </xf>
    <xf numFmtId="3" fontId="41" fillId="0" borderId="26" xfId="0" applyNumberFormat="1" applyFont="1" applyFill="1" applyBorder="1" applyAlignment="1">
      <alignment horizontal="right" vertical="center" shrinkToFit="1"/>
    </xf>
    <xf numFmtId="0" fontId="161" fillId="8" borderId="17" xfId="0" applyFont="1" applyFill="1" applyBorder="1" applyAlignment="1">
      <alignment horizontal="center" vertical="center" wrapText="1"/>
    </xf>
    <xf numFmtId="0" fontId="75" fillId="8" borderId="17" xfId="0" applyFont="1" applyFill="1" applyBorder="1" applyAlignment="1">
      <alignment horizontal="center" vertical="center" wrapText="1"/>
    </xf>
    <xf numFmtId="1" fontId="4" fillId="0" borderId="1" xfId="0" applyNumberFormat="1" applyFont="1" applyFill="1" applyBorder="1" applyAlignment="1">
      <alignment horizontal="center" vertical="center" shrinkToFit="1"/>
    </xf>
    <xf numFmtId="0" fontId="70" fillId="4" borderId="1" xfId="0" applyFont="1" applyFill="1" applyBorder="1" applyAlignment="1">
      <alignment horizontal="center" vertical="center"/>
    </xf>
    <xf numFmtId="0" fontId="111" fillId="27" borderId="1" xfId="0" applyFont="1" applyFill="1" applyBorder="1" applyAlignment="1">
      <alignment horizontal="center" vertical="center"/>
    </xf>
    <xf numFmtId="0" fontId="166" fillId="0" borderId="1" xfId="0" applyFont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 shrinkToFit="1"/>
    </xf>
    <xf numFmtId="3" fontId="39" fillId="0" borderId="1" xfId="0" applyNumberFormat="1" applyFont="1" applyFill="1" applyBorder="1" applyAlignment="1">
      <alignment horizontal="center" vertical="center"/>
    </xf>
    <xf numFmtId="3" fontId="84" fillId="2" borderId="1" xfId="0" applyNumberFormat="1" applyFont="1" applyFill="1" applyBorder="1" applyAlignment="1">
      <alignment horizontal="right" vertical="center" shrinkToFit="1"/>
    </xf>
    <xf numFmtId="0" fontId="37" fillId="0" borderId="3" xfId="0" applyFont="1" applyBorder="1" applyAlignment="1">
      <alignment horizontal="left" indent="1"/>
    </xf>
    <xf numFmtId="164" fontId="100" fillId="2" borderId="1" xfId="0" applyNumberFormat="1" applyFont="1" applyFill="1" applyBorder="1" applyAlignment="1">
      <alignment horizontal="left" vertical="center" indent="1" shrinkToFit="1"/>
    </xf>
    <xf numFmtId="164" fontId="102" fillId="31" borderId="1" xfId="0" applyNumberFormat="1" applyFont="1" applyFill="1" applyBorder="1" applyAlignment="1">
      <alignment horizontal="left" vertical="center" indent="1" shrinkToFit="1"/>
    </xf>
    <xf numFmtId="0" fontId="6" fillId="0" borderId="1" xfId="0" quotePrefix="1" applyNumberFormat="1" applyFont="1" applyFill="1" applyBorder="1" applyAlignment="1">
      <alignment horizontal="center" vertical="center" shrinkToFit="1"/>
    </xf>
    <xf numFmtId="0" fontId="146" fillId="15" borderId="0" xfId="0" applyFont="1" applyFill="1" applyAlignment="1">
      <alignment horizontal="left" vertical="center" indent="1" shrinkToFit="1"/>
    </xf>
    <xf numFmtId="3" fontId="32" fillId="18" borderId="0" xfId="0" applyNumberFormat="1" applyFont="1" applyFill="1" applyAlignment="1">
      <alignment horizontal="center" vertical="center" shrinkToFit="1"/>
    </xf>
    <xf numFmtId="0" fontId="2" fillId="0" borderId="0" xfId="0" applyFont="1" applyAlignment="1">
      <alignment shrinkToFit="1"/>
    </xf>
    <xf numFmtId="49" fontId="120" fillId="29" borderId="9" xfId="0" applyNumberFormat="1" applyFont="1" applyFill="1" applyBorder="1" applyAlignment="1">
      <alignment horizontal="centerContinuous" vertical="center" shrinkToFit="1"/>
    </xf>
    <xf numFmtId="0" fontId="25" fillId="29" borderId="9" xfId="0" applyFont="1" applyFill="1" applyBorder="1" applyAlignment="1">
      <alignment horizontal="centerContinuous" shrinkToFit="1"/>
    </xf>
    <xf numFmtId="3" fontId="39" fillId="0" borderId="2" xfId="0" applyNumberFormat="1" applyFont="1" applyFill="1" applyBorder="1" applyAlignment="1">
      <alignment horizontal="center" vertical="center" shrinkToFit="1"/>
    </xf>
    <xf numFmtId="3" fontId="41" fillId="0" borderId="29" xfId="0" applyNumberFormat="1" applyFont="1" applyFill="1" applyBorder="1" applyAlignment="1">
      <alignment horizontal="right" vertical="center" shrinkToFit="1"/>
    </xf>
    <xf numFmtId="3" fontId="120" fillId="26" borderId="1" xfId="0" applyNumberFormat="1" applyFont="1" applyFill="1" applyBorder="1" applyAlignment="1">
      <alignment horizontal="center" vertical="center" shrinkToFit="1"/>
    </xf>
    <xf numFmtId="3" fontId="174" fillId="7" borderId="1" xfId="0" applyNumberFormat="1" applyFont="1" applyFill="1" applyBorder="1" applyAlignment="1">
      <alignment horizontal="center" vertical="center" shrinkToFit="1"/>
    </xf>
    <xf numFmtId="3" fontId="120" fillId="44" borderId="1" xfId="0" applyNumberFormat="1" applyFont="1" applyFill="1" applyBorder="1" applyAlignment="1">
      <alignment horizontal="center" vertical="center" shrinkToFit="1"/>
    </xf>
    <xf numFmtId="3" fontId="41" fillId="0" borderId="1" xfId="0" applyNumberFormat="1" applyFont="1" applyFill="1" applyBorder="1" applyAlignment="1">
      <alignment horizontal="right" vertical="center" shrinkToFit="1"/>
    </xf>
    <xf numFmtId="3" fontId="3" fillId="26" borderId="1" xfId="0" applyNumberFormat="1" applyFont="1" applyFill="1" applyBorder="1" applyAlignment="1">
      <alignment horizontal="right" vertical="center" shrinkToFit="1"/>
    </xf>
    <xf numFmtId="3" fontId="173" fillId="7" borderId="1" xfId="0" applyNumberFormat="1" applyFont="1" applyFill="1" applyBorder="1" applyAlignment="1">
      <alignment horizontal="right" vertical="center" shrinkToFit="1"/>
    </xf>
    <xf numFmtId="3" fontId="3" fillId="44" borderId="1" xfId="0" applyNumberFormat="1" applyFont="1" applyFill="1" applyBorder="1" applyAlignment="1">
      <alignment horizontal="right" vertical="center" shrinkToFit="1"/>
    </xf>
    <xf numFmtId="0" fontId="42" fillId="0" borderId="0" xfId="0" applyFont="1" applyAlignment="1">
      <alignment horizontal="center" vertical="center" shrinkToFit="1"/>
    </xf>
    <xf numFmtId="0" fontId="42" fillId="0" borderId="0" xfId="0" applyFont="1" applyAlignment="1">
      <alignment shrinkToFit="1"/>
    </xf>
    <xf numFmtId="0" fontId="69" fillId="0" borderId="0" xfId="0" applyFont="1" applyAlignment="1">
      <alignment horizontal="center" vertical="center" shrinkToFit="1"/>
    </xf>
    <xf numFmtId="0" fontId="2" fillId="0" borderId="34" xfId="0" applyFont="1" applyBorder="1" applyAlignment="1">
      <alignment shrinkToFit="1"/>
    </xf>
    <xf numFmtId="0" fontId="13" fillId="0" borderId="0" xfId="0" applyFont="1" applyBorder="1" applyAlignment="1">
      <alignment horizontal="center" vertical="center" shrinkToFit="1"/>
    </xf>
    <xf numFmtId="0" fontId="2" fillId="0" borderId="37" xfId="0" applyFont="1" applyBorder="1" applyAlignment="1">
      <alignment shrinkToFit="1"/>
    </xf>
    <xf numFmtId="3" fontId="44" fillId="0" borderId="0" xfId="0" applyNumberFormat="1" applyFont="1" applyFill="1" applyBorder="1" applyAlignment="1">
      <alignment horizontal="left" vertical="center" shrinkToFit="1"/>
    </xf>
    <xf numFmtId="0" fontId="2" fillId="28" borderId="0" xfId="0" applyFont="1" applyFill="1" applyAlignment="1">
      <alignment shrinkToFit="1"/>
    </xf>
    <xf numFmtId="0" fontId="1" fillId="0" borderId="0" xfId="0" applyFont="1" applyAlignment="1">
      <alignment vertical="center" shrinkToFit="1"/>
    </xf>
    <xf numFmtId="0" fontId="43" fillId="0" borderId="0" xfId="0" applyFont="1" applyAlignment="1">
      <alignment shrinkToFit="1"/>
    </xf>
    <xf numFmtId="0" fontId="86" fillId="0" borderId="0" xfId="0" applyFont="1" applyAlignment="1">
      <alignment shrinkToFit="1"/>
    </xf>
    <xf numFmtId="0" fontId="160" fillId="0" borderId="33" xfId="0" applyFont="1" applyBorder="1" applyAlignment="1"/>
    <xf numFmtId="0" fontId="86" fillId="0" borderId="36" xfId="0" applyFont="1" applyBorder="1" applyAlignment="1"/>
    <xf numFmtId="0" fontId="2" fillId="0" borderId="0" xfId="0" applyFont="1" applyAlignment="1"/>
    <xf numFmtId="0" fontId="2" fillId="28" borderId="0" xfId="0" applyFont="1" applyFill="1" applyAlignment="1"/>
    <xf numFmtId="3" fontId="120" fillId="45" borderId="1" xfId="0" applyNumberFormat="1" applyFont="1" applyFill="1" applyBorder="1" applyAlignment="1">
      <alignment horizontal="center" vertical="center" shrinkToFit="1"/>
    </xf>
    <xf numFmtId="3" fontId="3" fillId="45" borderId="1" xfId="0" applyNumberFormat="1" applyFont="1" applyFill="1" applyBorder="1" applyAlignment="1">
      <alignment horizontal="right" vertical="center" shrinkToFit="1"/>
    </xf>
    <xf numFmtId="49" fontId="14" fillId="26" borderId="1" xfId="0" quotePrefix="1" applyNumberFormat="1" applyFont="1" applyFill="1" applyBorder="1" applyAlignment="1">
      <alignment horizontal="center" vertical="center" shrinkToFit="1"/>
    </xf>
    <xf numFmtId="49" fontId="172" fillId="7" borderId="1" xfId="0" quotePrefix="1" applyNumberFormat="1" applyFont="1" applyFill="1" applyBorder="1" applyAlignment="1">
      <alignment horizontal="center" vertical="center" shrinkToFit="1"/>
    </xf>
    <xf numFmtId="49" fontId="14" fillId="44" borderId="1" xfId="0" quotePrefix="1" applyNumberFormat="1" applyFont="1" applyFill="1" applyBorder="1" applyAlignment="1">
      <alignment horizontal="center" vertical="center" shrinkToFit="1"/>
    </xf>
    <xf numFmtId="3" fontId="175" fillId="0" borderId="0" xfId="0" applyNumberFormat="1" applyFont="1" applyFill="1" applyBorder="1" applyAlignment="1">
      <alignment horizontal="right" vertical="center"/>
    </xf>
    <xf numFmtId="0" fontId="0" fillId="0" borderId="0" xfId="0" applyNumberFormat="1"/>
    <xf numFmtId="0" fontId="146" fillId="11" borderId="1" xfId="0" applyFont="1" applyFill="1" applyBorder="1" applyAlignment="1">
      <alignment horizontal="left" vertical="center"/>
    </xf>
    <xf numFmtId="0" fontId="181" fillId="0" borderId="16" xfId="0" applyFont="1" applyBorder="1" applyAlignment="1">
      <alignment horizontal="center" vertical="center"/>
    </xf>
    <xf numFmtId="0" fontId="15" fillId="32" borderId="1" xfId="0" applyFont="1" applyFill="1" applyBorder="1" applyAlignment="1">
      <alignment horizontal="center" vertical="center" wrapText="1"/>
    </xf>
    <xf numFmtId="0" fontId="189" fillId="0" borderId="0" xfId="0" applyFont="1" applyAlignment="1">
      <alignment shrinkToFit="1"/>
    </xf>
    <xf numFmtId="3" fontId="41" fillId="47" borderId="1" xfId="0" applyNumberFormat="1" applyFont="1" applyFill="1" applyBorder="1" applyAlignment="1">
      <alignment horizontal="right" vertical="center"/>
    </xf>
    <xf numFmtId="49" fontId="4" fillId="0" borderId="1" xfId="0" quotePrefix="1" applyNumberFormat="1" applyFont="1" applyFill="1" applyBorder="1" applyAlignment="1">
      <alignment vertical="center" shrinkToFit="1"/>
    </xf>
    <xf numFmtId="0" fontId="64" fillId="12" borderId="23" xfId="0" applyFont="1" applyFill="1" applyBorder="1" applyAlignment="1">
      <alignment vertical="center"/>
    </xf>
    <xf numFmtId="3" fontId="64" fillId="0" borderId="24" xfId="0" applyNumberFormat="1" applyFont="1" applyBorder="1" applyAlignment="1">
      <alignment vertical="center"/>
    </xf>
    <xf numFmtId="0" fontId="66" fillId="0" borderId="23" xfId="0" applyFont="1" applyBorder="1" applyAlignment="1">
      <alignment vertical="center"/>
    </xf>
    <xf numFmtId="0" fontId="66" fillId="0" borderId="25" xfId="0" applyFont="1" applyBorder="1" applyAlignment="1">
      <alignment vertical="center"/>
    </xf>
    <xf numFmtId="0" fontId="132" fillId="0" borderId="26" xfId="0" applyFont="1" applyBorder="1" applyAlignment="1">
      <alignment horizontal="center" vertical="center"/>
    </xf>
    <xf numFmtId="14" fontId="64" fillId="0" borderId="26" xfId="0" applyNumberFormat="1" applyFont="1" applyBorder="1" applyAlignment="1">
      <alignment horizontal="center" vertical="center"/>
    </xf>
    <xf numFmtId="3" fontId="64" fillId="0" borderId="27" xfId="0" applyNumberFormat="1" applyFont="1" applyBorder="1" applyAlignment="1">
      <alignment vertical="center"/>
    </xf>
    <xf numFmtId="0" fontId="170" fillId="0" borderId="0" xfId="0" applyFont="1" applyAlignment="1">
      <alignment horizontal="center" vertical="center"/>
    </xf>
    <xf numFmtId="0" fontId="195" fillId="0" borderId="0" xfId="0" applyFont="1" applyAlignment="1">
      <alignment vertical="center"/>
    </xf>
    <xf numFmtId="0" fontId="24" fillId="0" borderId="0" xfId="0" applyFont="1" applyFill="1" applyBorder="1"/>
    <xf numFmtId="0" fontId="24" fillId="0" borderId="0" xfId="0" applyFont="1"/>
    <xf numFmtId="0" fontId="24" fillId="0" borderId="0" xfId="0" applyFont="1" applyAlignment="1">
      <alignment vertical="center"/>
    </xf>
    <xf numFmtId="0" fontId="196" fillId="0" borderId="0" xfId="0" applyFont="1" applyAlignment="1">
      <alignment vertical="center"/>
    </xf>
    <xf numFmtId="0" fontId="205" fillId="0" borderId="0" xfId="0" applyFont="1" applyAlignment="1">
      <alignment vertical="center"/>
    </xf>
    <xf numFmtId="0" fontId="205" fillId="0" borderId="0" xfId="0" applyFont="1" applyAlignment="1">
      <alignment horizontal="center" vertical="center"/>
    </xf>
    <xf numFmtId="0" fontId="206" fillId="0" borderId="0" xfId="0" quotePrefix="1" applyFont="1" applyAlignment="1">
      <alignment vertical="center"/>
    </xf>
    <xf numFmtId="0" fontId="207" fillId="0" borderId="0" xfId="0" applyFont="1" applyAlignment="1">
      <alignment horizontal="left"/>
    </xf>
    <xf numFmtId="0" fontId="203" fillId="0" borderId="2" xfId="0" applyFont="1" applyBorder="1" applyAlignment="1">
      <alignment horizontal="center" vertical="center"/>
    </xf>
    <xf numFmtId="0" fontId="207" fillId="0" borderId="1" xfId="0" applyFont="1" applyBorder="1" applyAlignment="1">
      <alignment horizontal="center"/>
    </xf>
    <xf numFmtId="0" fontId="208" fillId="0" borderId="0" xfId="0" applyFont="1" applyAlignment="1">
      <alignment horizontal="left" indent="2"/>
    </xf>
    <xf numFmtId="0" fontId="209" fillId="0" borderId="3" xfId="0" applyFont="1" applyBorder="1" applyAlignment="1">
      <alignment horizontal="left" indent="1"/>
    </xf>
    <xf numFmtId="0" fontId="210" fillId="0" borderId="3" xfId="0" applyFont="1" applyBorder="1" applyAlignment="1">
      <alignment horizontal="left" indent="1"/>
    </xf>
    <xf numFmtId="165" fontId="100" fillId="41" borderId="1" xfId="0" applyNumberFormat="1" applyFont="1" applyFill="1" applyBorder="1" applyAlignment="1">
      <alignment horizontal="center" vertical="center" shrinkToFit="1"/>
    </xf>
    <xf numFmtId="165" fontId="102" fillId="36" borderId="1" xfId="0" applyNumberFormat="1" applyFont="1" applyFill="1" applyBorder="1" applyAlignment="1">
      <alignment horizontal="center" vertical="center" shrinkToFit="1"/>
    </xf>
    <xf numFmtId="0" fontId="96" fillId="37" borderId="1" xfId="0" applyNumberFormat="1" applyFont="1" applyFill="1" applyBorder="1" applyAlignment="1">
      <alignment horizontal="center" vertical="center" shrinkToFit="1"/>
    </xf>
    <xf numFmtId="3" fontId="18" fillId="0" borderId="30" xfId="0" applyNumberFormat="1" applyFont="1" applyFill="1" applyBorder="1" applyAlignment="1">
      <alignment horizontal="right" vertical="center" shrinkToFit="1"/>
    </xf>
    <xf numFmtId="3" fontId="18" fillId="0" borderId="31" xfId="0" applyNumberFormat="1" applyFont="1" applyFill="1" applyBorder="1" applyAlignment="1">
      <alignment horizontal="right" vertical="center" shrinkToFit="1"/>
    </xf>
    <xf numFmtId="3" fontId="18" fillId="0" borderId="32" xfId="0" applyNumberFormat="1" applyFont="1" applyFill="1" applyBorder="1" applyAlignment="1">
      <alignment horizontal="right" vertical="center" shrinkToFit="1"/>
    </xf>
    <xf numFmtId="0" fontId="18" fillId="0" borderId="22" xfId="0" applyNumberFormat="1" applyFont="1" applyFill="1" applyBorder="1" applyAlignment="1">
      <alignment horizontal="left" vertical="center" shrinkToFit="1"/>
    </xf>
    <xf numFmtId="0" fontId="18" fillId="0" borderId="42" xfId="0" applyNumberFormat="1" applyFont="1" applyFill="1" applyBorder="1" applyAlignment="1">
      <alignment horizontal="left" vertical="center" shrinkToFit="1"/>
    </xf>
    <xf numFmtId="0" fontId="18" fillId="0" borderId="43" xfId="0" applyNumberFormat="1" applyFont="1" applyFill="1" applyBorder="1" applyAlignment="1">
      <alignment horizontal="left" vertical="center" shrinkToFit="1"/>
    </xf>
    <xf numFmtId="3" fontId="211" fillId="0" borderId="1" xfId="0" applyNumberFormat="1" applyFont="1" applyFill="1" applyBorder="1" applyAlignment="1">
      <alignment horizontal="center" vertical="center" shrinkToFit="1"/>
    </xf>
    <xf numFmtId="14" fontId="182" fillId="40" borderId="1" xfId="0" applyNumberFormat="1" applyFont="1" applyFill="1" applyBorder="1" applyAlignment="1">
      <alignment horizontal="center" vertical="center" wrapText="1"/>
    </xf>
    <xf numFmtId="14" fontId="120" fillId="40" borderId="0" xfId="0" applyNumberFormat="1" applyFont="1" applyFill="1" applyBorder="1" applyAlignment="1">
      <alignment horizontal="center" vertical="center" wrapText="1"/>
    </xf>
    <xf numFmtId="3" fontId="15" fillId="16" borderId="10" xfId="0" applyNumberFormat="1" applyFont="1" applyFill="1" applyBorder="1" applyAlignment="1">
      <alignment horizontal="center" vertical="center" shrinkToFit="1"/>
    </xf>
    <xf numFmtId="3" fontId="99" fillId="0" borderId="1" xfId="0" applyNumberFormat="1" applyFont="1" applyFill="1" applyBorder="1" applyAlignment="1">
      <alignment horizontal="center" vertical="center" shrinkToFit="1"/>
    </xf>
    <xf numFmtId="164" fontId="99" fillId="0" borderId="1" xfId="0" applyNumberFormat="1" applyFont="1" applyFill="1" applyBorder="1" applyAlignment="1">
      <alignment horizontal="center" vertical="center" shrinkToFit="1"/>
    </xf>
    <xf numFmtId="3" fontId="100" fillId="0" borderId="1" xfId="0" applyNumberFormat="1" applyFont="1" applyFill="1" applyBorder="1" applyAlignment="1">
      <alignment horizontal="center" vertical="center" shrinkToFit="1"/>
    </xf>
    <xf numFmtId="164" fontId="176" fillId="0" borderId="2" xfId="0" applyNumberFormat="1" applyFont="1" applyFill="1" applyBorder="1" applyAlignment="1">
      <alignment horizontal="left" vertical="center" shrinkToFit="1"/>
    </xf>
    <xf numFmtId="164" fontId="100" fillId="0" borderId="23" xfId="0" applyNumberFormat="1" applyFont="1" applyFill="1" applyBorder="1" applyAlignment="1">
      <alignment horizontal="left" vertical="center" shrinkToFit="1"/>
    </xf>
    <xf numFmtId="3" fontId="100" fillId="0" borderId="24" xfId="0" applyNumberFormat="1" applyFont="1" applyFill="1" applyBorder="1" applyAlignment="1">
      <alignment horizontal="center" vertical="center" shrinkToFit="1"/>
    </xf>
    <xf numFmtId="164" fontId="100" fillId="0" borderId="25" xfId="0" applyNumberFormat="1" applyFont="1" applyFill="1" applyBorder="1" applyAlignment="1">
      <alignment horizontal="left" vertical="center" shrinkToFit="1"/>
    </xf>
    <xf numFmtId="164" fontId="99" fillId="0" borderId="26" xfId="0" applyNumberFormat="1" applyFont="1" applyFill="1" applyBorder="1" applyAlignment="1">
      <alignment horizontal="center" vertical="center" shrinkToFit="1"/>
    </xf>
    <xf numFmtId="3" fontId="100" fillId="0" borderId="26" xfId="0" applyNumberFormat="1" applyFont="1" applyFill="1" applyBorder="1" applyAlignment="1">
      <alignment horizontal="center" vertical="center" shrinkToFit="1"/>
    </xf>
    <xf numFmtId="3" fontId="100" fillId="0" borderId="27" xfId="0" applyNumberFormat="1" applyFont="1" applyFill="1" applyBorder="1" applyAlignment="1">
      <alignment horizontal="center" vertical="center" shrinkToFit="1"/>
    </xf>
    <xf numFmtId="0" fontId="213" fillId="0" borderId="0" xfId="0" quotePrefix="1" applyFont="1" applyBorder="1" applyAlignment="1">
      <alignment vertical="center"/>
    </xf>
    <xf numFmtId="0" fontId="136" fillId="0" borderId="0" xfId="0" applyFont="1" applyBorder="1" applyAlignment="1">
      <alignment horizontal="right"/>
    </xf>
    <xf numFmtId="0" fontId="213" fillId="2" borderId="0" xfId="0" quotePrefix="1" applyFont="1" applyFill="1" applyBorder="1" applyAlignment="1">
      <alignment horizontal="right" vertical="center"/>
    </xf>
    <xf numFmtId="0" fontId="136" fillId="2" borderId="0" xfId="0" applyFont="1" applyFill="1" applyBorder="1"/>
    <xf numFmtId="168" fontId="152" fillId="32" borderId="12" xfId="0" applyNumberFormat="1" applyFont="1" applyFill="1" applyBorder="1" applyAlignment="1">
      <alignment horizontal="left" vertical="center" shrinkToFit="1"/>
    </xf>
    <xf numFmtId="0" fontId="216" fillId="48" borderId="1" xfId="0" applyNumberFormat="1" applyFont="1" applyFill="1" applyBorder="1" applyAlignment="1">
      <alignment horizontal="center" vertical="center" shrinkToFit="1"/>
    </xf>
    <xf numFmtId="0" fontId="124" fillId="5" borderId="1" xfId="0" applyNumberFormat="1" applyFont="1" applyFill="1" applyBorder="1" applyAlignment="1">
      <alignment horizontal="center" vertical="center" shrinkToFit="1"/>
    </xf>
    <xf numFmtId="0" fontId="124" fillId="28" borderId="1" xfId="0" applyNumberFormat="1" applyFont="1" applyFill="1" applyBorder="1" applyAlignment="1">
      <alignment horizontal="center" vertical="center" shrinkToFit="1"/>
    </xf>
    <xf numFmtId="0" fontId="123" fillId="0" borderId="1" xfId="0" applyNumberFormat="1" applyFont="1" applyFill="1" applyBorder="1" applyAlignment="1">
      <alignment horizontal="left" vertical="center"/>
    </xf>
    <xf numFmtId="0" fontId="5" fillId="0" borderId="6" xfId="0" applyFont="1" applyBorder="1" applyAlignment="1">
      <alignment vertical="center"/>
    </xf>
    <xf numFmtId="0" fontId="5" fillId="0" borderId="6" xfId="0" applyFont="1" applyBorder="1"/>
    <xf numFmtId="0" fontId="5" fillId="0" borderId="0" xfId="0" applyFont="1" applyBorder="1" applyAlignment="1">
      <alignment vertical="center"/>
    </xf>
    <xf numFmtId="0" fontId="5" fillId="0" borderId="0" xfId="0" applyFont="1" applyBorder="1"/>
    <xf numFmtId="0" fontId="5" fillId="0" borderId="15" xfId="0" applyFont="1" applyBorder="1"/>
    <xf numFmtId="0" fontId="5" fillId="0" borderId="9" xfId="0" applyFont="1" applyBorder="1" applyAlignment="1">
      <alignment vertical="center"/>
    </xf>
    <xf numFmtId="0" fontId="5" fillId="0" borderId="9" xfId="0" applyFont="1" applyBorder="1"/>
    <xf numFmtId="0" fontId="5" fillId="0" borderId="10" xfId="0" applyFont="1" applyBorder="1"/>
    <xf numFmtId="0" fontId="35" fillId="0" borderId="0" xfId="0" applyFont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5" fillId="0" borderId="3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0" fontId="124" fillId="18" borderId="4" xfId="0" applyNumberFormat="1" applyFont="1" applyFill="1" applyBorder="1" applyAlignment="1">
      <alignment horizontal="center" vertical="center" shrinkToFit="1"/>
    </xf>
    <xf numFmtId="0" fontId="124" fillId="32" borderId="4" xfId="0" applyNumberFormat="1" applyFont="1" applyFill="1" applyBorder="1" applyAlignment="1">
      <alignment horizontal="center" vertical="center" shrinkToFit="1"/>
    </xf>
    <xf numFmtId="0" fontId="216" fillId="2" borderId="4" xfId="0" applyNumberFormat="1" applyFont="1" applyFill="1" applyBorder="1" applyAlignment="1">
      <alignment horizontal="center" vertical="center" shrinkToFit="1"/>
    </xf>
    <xf numFmtId="0" fontId="44" fillId="0" borderId="23" xfId="0" applyFont="1" applyBorder="1" applyAlignment="1">
      <alignment vertical="center"/>
    </xf>
    <xf numFmtId="0" fontId="120" fillId="29" borderId="23" xfId="0" applyFont="1" applyFill="1" applyBorder="1" applyAlignment="1">
      <alignment vertical="center"/>
    </xf>
    <xf numFmtId="0" fontId="14" fillId="18" borderId="0" xfId="0" quotePrefix="1" applyFont="1" applyFill="1" applyBorder="1" applyAlignment="1">
      <alignment horizontal="centerContinuous" vertical="center"/>
    </xf>
    <xf numFmtId="0" fontId="38" fillId="18" borderId="0" xfId="0" quotePrefix="1" applyFont="1" applyFill="1" applyBorder="1" applyAlignment="1">
      <alignment horizontal="centerContinuous" vertical="center" wrapText="1"/>
    </xf>
    <xf numFmtId="0" fontId="177" fillId="18" borderId="0" xfId="0" quotePrefix="1" applyFont="1" applyFill="1" applyBorder="1" applyAlignment="1">
      <alignment horizontal="centerContinuous" vertical="center" wrapText="1"/>
    </xf>
    <xf numFmtId="3" fontId="107" fillId="27" borderId="1" xfId="0" applyNumberFormat="1" applyFont="1" applyFill="1" applyBorder="1" applyAlignment="1">
      <alignment horizontal="right" vertical="center" shrinkToFit="1"/>
    </xf>
    <xf numFmtId="0" fontId="220" fillId="15" borderId="11" xfId="0" applyNumberFormat="1" applyFont="1" applyFill="1" applyBorder="1" applyAlignment="1">
      <alignment horizontal="center" vertical="center"/>
    </xf>
    <xf numFmtId="0" fontId="220" fillId="15" borderId="12" xfId="0" applyNumberFormat="1" applyFont="1" applyFill="1" applyBorder="1" applyAlignment="1">
      <alignment horizontal="center" vertical="center"/>
    </xf>
    <xf numFmtId="0" fontId="84" fillId="22" borderId="1" xfId="0" applyFont="1" applyFill="1" applyBorder="1" applyAlignment="1">
      <alignment horizontal="center" vertical="center" shrinkToFit="1"/>
    </xf>
    <xf numFmtId="0" fontId="24" fillId="0" borderId="1" xfId="0" applyFont="1" applyBorder="1" applyAlignment="1">
      <alignment vertical="center" textRotation="60"/>
    </xf>
    <xf numFmtId="0" fontId="44" fillId="0" borderId="1" xfId="0" applyNumberFormat="1" applyFont="1" applyFill="1" applyBorder="1" applyAlignment="1">
      <alignment horizontal="center" vertical="center" shrinkToFit="1"/>
    </xf>
    <xf numFmtId="0" fontId="25" fillId="0" borderId="0" xfId="0" applyFont="1" applyAlignment="1">
      <alignment shrinkToFit="1"/>
    </xf>
    <xf numFmtId="0" fontId="72" fillId="0" borderId="0" xfId="0" applyFont="1" applyAlignment="1">
      <alignment vertical="center" shrinkToFit="1"/>
    </xf>
    <xf numFmtId="0" fontId="108" fillId="31" borderId="1" xfId="0" applyFont="1" applyFill="1" applyBorder="1" applyAlignment="1">
      <alignment horizontal="center" vertical="center" shrinkToFit="1"/>
    </xf>
    <xf numFmtId="0" fontId="33" fillId="0" borderId="0" xfId="0" applyFont="1" applyAlignment="1">
      <alignment shrinkToFit="1"/>
    </xf>
    <xf numFmtId="0" fontId="40" fillId="0" borderId="1" xfId="0" applyNumberFormat="1" applyFont="1" applyFill="1" applyBorder="1" applyAlignment="1">
      <alignment horizontal="center" vertical="center" shrinkToFit="1"/>
    </xf>
    <xf numFmtId="0" fontId="6" fillId="0" borderId="2" xfId="0" applyNumberFormat="1" applyFont="1" applyFill="1" applyBorder="1" applyAlignment="1">
      <alignment vertical="center" shrinkToFit="1"/>
    </xf>
    <xf numFmtId="0" fontId="6" fillId="0" borderId="11" xfId="0" applyNumberFormat="1" applyFont="1" applyFill="1" applyBorder="1" applyAlignment="1">
      <alignment vertical="center" shrinkToFit="1"/>
    </xf>
    <xf numFmtId="0" fontId="6" fillId="0" borderId="12" xfId="0" applyNumberFormat="1" applyFont="1" applyFill="1" applyBorder="1" applyAlignment="1">
      <alignment vertical="center" shrinkToFit="1"/>
    </xf>
    <xf numFmtId="0" fontId="6" fillId="0" borderId="44" xfId="0" applyNumberFormat="1" applyFont="1" applyFill="1" applyBorder="1" applyAlignment="1">
      <alignment vertical="center" shrinkToFit="1"/>
    </xf>
    <xf numFmtId="0" fontId="122" fillId="8" borderId="44" xfId="0" quotePrefix="1" applyNumberFormat="1" applyFont="1" applyFill="1" applyBorder="1" applyAlignment="1">
      <alignment horizontal="center" vertical="center"/>
    </xf>
    <xf numFmtId="0" fontId="6" fillId="0" borderId="5" xfId="0" applyNumberFormat="1" applyFont="1" applyFill="1" applyBorder="1" applyAlignment="1">
      <alignment vertical="center" shrinkToFit="1"/>
    </xf>
    <xf numFmtId="0" fontId="122" fillId="8" borderId="45" xfId="0" applyNumberFormat="1" applyFont="1" applyFill="1" applyBorder="1" applyAlignment="1">
      <alignment horizontal="center" vertical="center" shrinkToFit="1"/>
    </xf>
    <xf numFmtId="0" fontId="225" fillId="0" borderId="3" xfId="0" applyNumberFormat="1" applyFont="1" applyFill="1" applyBorder="1" applyAlignment="1">
      <alignment vertical="center" shrinkToFit="1"/>
    </xf>
    <xf numFmtId="0" fontId="6" fillId="0" borderId="1" xfId="0" quotePrefix="1" applyNumberFormat="1" applyFont="1" applyFill="1" applyBorder="1" applyAlignment="1">
      <alignment horizontal="center" vertical="center"/>
    </xf>
    <xf numFmtId="0" fontId="6" fillId="0" borderId="1" xfId="0" quotePrefix="1" applyNumberFormat="1" applyFont="1" applyFill="1" applyBorder="1" applyAlignment="1">
      <alignment horizontal="left" vertical="center"/>
    </xf>
    <xf numFmtId="0" fontId="124" fillId="30" borderId="2" xfId="0" applyNumberFormat="1" applyFont="1" applyFill="1" applyBorder="1" applyAlignment="1">
      <alignment horizontal="center" vertical="center" shrinkToFit="1"/>
    </xf>
    <xf numFmtId="3" fontId="103" fillId="32" borderId="1" xfId="0" applyNumberFormat="1" applyFont="1" applyFill="1" applyBorder="1" applyAlignment="1">
      <alignment horizontal="center" vertical="center"/>
    </xf>
    <xf numFmtId="14" fontId="137" fillId="21" borderId="1" xfId="0" applyNumberFormat="1" applyFont="1" applyFill="1" applyBorder="1" applyAlignment="1">
      <alignment horizontal="center" vertical="center" wrapText="1"/>
    </xf>
    <xf numFmtId="0" fontId="104" fillId="0" borderId="0" xfId="0" applyFont="1" applyAlignment="1">
      <alignment horizontal="center" vertical="center"/>
    </xf>
    <xf numFmtId="0" fontId="104" fillId="0" borderId="0" xfId="0" applyFont="1" applyAlignment="1">
      <alignment horizontal="center"/>
    </xf>
    <xf numFmtId="14" fontId="104" fillId="0" borderId="0" xfId="0" applyNumberFormat="1" applyFont="1" applyAlignment="1">
      <alignment horizontal="center" vertical="center"/>
    </xf>
    <xf numFmtId="169" fontId="104" fillId="0" borderId="0" xfId="0" applyNumberFormat="1" applyFont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1" fontId="153" fillId="40" borderId="1" xfId="0" applyNumberFormat="1" applyFont="1" applyFill="1" applyBorder="1" applyAlignment="1">
      <alignment horizontal="center" vertical="center"/>
    </xf>
    <xf numFmtId="14" fontId="106" fillId="8" borderId="1" xfId="0" applyNumberFormat="1" applyFont="1" applyFill="1" applyBorder="1" applyAlignment="1">
      <alignment horizontal="center" vertical="center"/>
    </xf>
    <xf numFmtId="166" fontId="226" fillId="42" borderId="12" xfId="0" applyNumberFormat="1" applyFont="1" applyFill="1" applyBorder="1" applyAlignment="1">
      <alignment horizontal="left" vertical="center"/>
    </xf>
    <xf numFmtId="0" fontId="134" fillId="0" borderId="1" xfId="0" applyNumberFormat="1" applyFont="1" applyFill="1" applyBorder="1" applyAlignment="1">
      <alignment horizontal="left" vertical="center" shrinkToFit="1"/>
    </xf>
    <xf numFmtId="0" fontId="35" fillId="0" borderId="1" xfId="0" quotePrefix="1" applyFont="1" applyBorder="1" applyAlignment="1">
      <alignment horizontal="left" vertical="center" wrapText="1"/>
    </xf>
    <xf numFmtId="0" fontId="231" fillId="0" borderId="5" xfId="0" applyFont="1" applyBorder="1" applyAlignment="1">
      <alignment horizontal="center" vertical="center" shrinkToFit="1"/>
    </xf>
    <xf numFmtId="0" fontId="231" fillId="0" borderId="11" xfId="0" applyFont="1" applyBorder="1" applyAlignment="1">
      <alignment horizontal="center" vertical="center" shrinkToFit="1"/>
    </xf>
    <xf numFmtId="4" fontId="231" fillId="0" borderId="11" xfId="0" applyNumberFormat="1" applyFont="1" applyBorder="1" applyAlignment="1">
      <alignment horizontal="right" vertical="center" shrinkToFit="1"/>
    </xf>
    <xf numFmtId="20" fontId="231" fillId="0" borderId="11" xfId="0" applyNumberFormat="1" applyFont="1" applyBorder="1" applyAlignment="1">
      <alignment horizontal="center" vertical="center" shrinkToFit="1"/>
    </xf>
    <xf numFmtId="0" fontId="231" fillId="0" borderId="13" xfId="0" applyFont="1" applyBorder="1" applyAlignment="1">
      <alignment horizontal="center" vertical="center" shrinkToFit="1"/>
    </xf>
    <xf numFmtId="0" fontId="231" fillId="0" borderId="17" xfId="0" applyFont="1" applyBorder="1" applyAlignment="1">
      <alignment horizontal="center" vertical="center" shrinkToFit="1"/>
    </xf>
    <xf numFmtId="4" fontId="231" fillId="0" borderId="17" xfId="0" applyNumberFormat="1" applyFont="1" applyBorder="1" applyAlignment="1">
      <alignment horizontal="right" vertical="center" shrinkToFit="1"/>
    </xf>
    <xf numFmtId="20" fontId="231" fillId="0" borderId="17" xfId="0" applyNumberFormat="1" applyFont="1" applyBorder="1" applyAlignment="1">
      <alignment horizontal="center" vertical="center" shrinkToFit="1"/>
    </xf>
    <xf numFmtId="0" fontId="233" fillId="0" borderId="13" xfId="0" applyFont="1" applyBorder="1" applyAlignment="1">
      <alignment vertical="center" shrinkToFit="1"/>
    </xf>
    <xf numFmtId="0" fontId="233" fillId="0" borderId="17" xfId="0" applyFont="1" applyBorder="1" applyAlignment="1">
      <alignment vertical="center" shrinkToFit="1"/>
    </xf>
    <xf numFmtId="0" fontId="233" fillId="0" borderId="8" xfId="0" applyFont="1" applyBorder="1" applyAlignment="1">
      <alignment vertical="center" shrinkToFit="1"/>
    </xf>
    <xf numFmtId="0" fontId="231" fillId="0" borderId="12" xfId="0" applyFont="1" applyBorder="1" applyAlignment="1">
      <alignment horizontal="center" vertical="center" shrinkToFit="1"/>
    </xf>
    <xf numFmtId="4" fontId="231" fillId="0" borderId="12" xfId="0" applyNumberFormat="1" applyFont="1" applyBorder="1" applyAlignment="1">
      <alignment horizontal="right" vertical="center" shrinkToFit="1"/>
    </xf>
    <xf numFmtId="0" fontId="233" fillId="0" borderId="12" xfId="0" applyFont="1" applyBorder="1" applyAlignment="1">
      <alignment vertical="center" shrinkToFit="1"/>
    </xf>
    <xf numFmtId="0" fontId="231" fillId="0" borderId="17" xfId="0" quotePrefix="1" applyFont="1" applyBorder="1" applyAlignment="1">
      <alignment horizontal="center" vertical="center" shrinkToFit="1"/>
    </xf>
    <xf numFmtId="0" fontId="35" fillId="0" borderId="1" xfId="0" applyFont="1" applyBorder="1" applyAlignment="1">
      <alignment horizontal="center" vertical="center" wrapText="1"/>
    </xf>
    <xf numFmtId="0" fontId="38" fillId="16" borderId="28" xfId="0" applyFont="1" applyFill="1" applyBorder="1" applyAlignment="1">
      <alignment horizontal="center" vertical="center" shrinkToFit="1"/>
    </xf>
    <xf numFmtId="0" fontId="38" fillId="16" borderId="29" xfId="0" applyFont="1" applyFill="1" applyBorder="1" applyAlignment="1">
      <alignment horizontal="center" vertical="center" shrinkToFit="1"/>
    </xf>
    <xf numFmtId="0" fontId="38" fillId="16" borderId="22" xfId="0" applyFont="1" applyFill="1" applyBorder="1" applyAlignment="1">
      <alignment horizontal="center" vertical="center" shrinkToFit="1"/>
    </xf>
    <xf numFmtId="0" fontId="94" fillId="0" borderId="0" xfId="1" applyFont="1" applyAlignment="1" applyProtection="1">
      <alignment horizontal="center" vertical="center" wrapText="1"/>
      <protection locked="0"/>
    </xf>
    <xf numFmtId="0" fontId="38" fillId="4" borderId="1" xfId="0" applyFont="1" applyFill="1" applyBorder="1" applyAlignment="1">
      <alignment horizontal="center" vertical="center" shrinkToFit="1"/>
    </xf>
    <xf numFmtId="0" fontId="3" fillId="4" borderId="5" xfId="0" applyFont="1" applyFill="1" applyBorder="1" applyAlignment="1">
      <alignment horizontal="center" vertical="center" shrinkToFit="1"/>
    </xf>
    <xf numFmtId="0" fontId="3" fillId="4" borderId="11" xfId="0" applyFont="1" applyFill="1" applyBorder="1" applyAlignment="1">
      <alignment horizontal="center" vertical="center" shrinkToFit="1"/>
    </xf>
    <xf numFmtId="0" fontId="3" fillId="4" borderId="1" xfId="0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44" fillId="4" borderId="5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38" fillId="4" borderId="3" xfId="0" applyFont="1" applyFill="1" applyBorder="1" applyAlignment="1">
      <alignment horizontal="center" vertical="center" wrapText="1"/>
    </xf>
    <xf numFmtId="49" fontId="14" fillId="4" borderId="1" xfId="0" applyNumberFormat="1" applyFont="1" applyFill="1" applyBorder="1" applyAlignment="1">
      <alignment horizontal="center" vertical="center" wrapText="1"/>
    </xf>
    <xf numFmtId="0" fontId="157" fillId="4" borderId="1" xfId="0" applyFont="1" applyFill="1" applyBorder="1" applyAlignment="1">
      <alignment horizontal="center" vertical="center" shrinkToFit="1"/>
    </xf>
    <xf numFmtId="3" fontId="103" fillId="4" borderId="1" xfId="0" applyNumberFormat="1" applyFont="1" applyFill="1" applyBorder="1" applyAlignment="1">
      <alignment horizontal="center" vertical="center" shrinkToFit="1"/>
    </xf>
    <xf numFmtId="3" fontId="97" fillId="4" borderId="1" xfId="0" applyNumberFormat="1" applyFont="1" applyFill="1" applyBorder="1" applyAlignment="1">
      <alignment horizontal="center" vertical="center" shrinkToFit="1"/>
    </xf>
    <xf numFmtId="1" fontId="83" fillId="40" borderId="1" xfId="0" applyNumberFormat="1" applyFont="1" applyFill="1" applyBorder="1" applyAlignment="1">
      <alignment horizontal="center" vertical="center" shrinkToFit="1"/>
    </xf>
    <xf numFmtId="0" fontId="14" fillId="4" borderId="1" xfId="0" applyFont="1" applyFill="1" applyBorder="1" applyAlignment="1">
      <alignment horizontal="center" vertical="center" shrinkToFit="1"/>
    </xf>
    <xf numFmtId="0" fontId="14" fillId="4" borderId="2" xfId="0" applyFont="1" applyFill="1" applyBorder="1" applyAlignment="1">
      <alignment horizontal="center" vertical="center" shrinkToFit="1"/>
    </xf>
    <xf numFmtId="0" fontId="109" fillId="4" borderId="46" xfId="0" applyFont="1" applyFill="1" applyBorder="1" applyAlignment="1">
      <alignment horizontal="center" vertical="center" shrinkToFit="1"/>
    </xf>
    <xf numFmtId="0" fontId="110" fillId="0" borderId="47" xfId="0" applyFont="1" applyFill="1" applyBorder="1" applyAlignment="1">
      <alignment horizontal="left" vertical="center" shrinkToFit="1"/>
    </xf>
    <xf numFmtId="0" fontId="44" fillId="0" borderId="47" xfId="0" applyFont="1" applyFill="1" applyBorder="1" applyAlignment="1">
      <alignment horizontal="left" vertical="center" shrinkToFit="1"/>
    </xf>
    <xf numFmtId="0" fontId="110" fillId="0" borderId="23" xfId="0" applyFont="1" applyFill="1" applyBorder="1" applyAlignment="1">
      <alignment horizontal="left" vertical="center" shrinkToFit="1"/>
    </xf>
    <xf numFmtId="0" fontId="110" fillId="0" borderId="24" xfId="0" applyNumberFormat="1" applyFont="1" applyFill="1" applyBorder="1" applyAlignment="1">
      <alignment horizontal="center" vertical="center" shrinkToFit="1"/>
    </xf>
    <xf numFmtId="0" fontId="109" fillId="4" borderId="28" xfId="0" applyFont="1" applyFill="1" applyBorder="1" applyAlignment="1">
      <alignment horizontal="center" vertical="center" shrinkToFit="1"/>
    </xf>
    <xf numFmtId="0" fontId="109" fillId="4" borderId="29" xfId="0" applyFont="1" applyFill="1" applyBorder="1" applyAlignment="1">
      <alignment horizontal="center" vertical="center" shrinkToFit="1"/>
    </xf>
    <xf numFmtId="0" fontId="109" fillId="4" borderId="22" xfId="0" applyFont="1" applyFill="1" applyBorder="1" applyAlignment="1">
      <alignment horizontal="center" vertical="center" shrinkToFit="1"/>
    </xf>
    <xf numFmtId="0" fontId="44" fillId="0" borderId="23" xfId="0" applyFont="1" applyFill="1" applyBorder="1" applyAlignment="1">
      <alignment horizontal="left" vertical="center" shrinkToFit="1"/>
    </xf>
    <xf numFmtId="0" fontId="44" fillId="0" borderId="24" xfId="0" applyNumberFormat="1" applyFont="1" applyFill="1" applyBorder="1" applyAlignment="1">
      <alignment horizontal="center" vertical="center" shrinkToFit="1"/>
    </xf>
    <xf numFmtId="0" fontId="110" fillId="0" borderId="25" xfId="0" applyFont="1" applyFill="1" applyBorder="1" applyAlignment="1">
      <alignment horizontal="left" vertical="center" shrinkToFit="1"/>
    </xf>
    <xf numFmtId="0" fontId="40" fillId="0" borderId="26" xfId="0" applyNumberFormat="1" applyFont="1" applyFill="1" applyBorder="1" applyAlignment="1">
      <alignment horizontal="center" vertical="center" shrinkToFit="1"/>
    </xf>
    <xf numFmtId="0" fontId="110" fillId="0" borderId="27" xfId="0" applyNumberFormat="1" applyFont="1" applyFill="1" applyBorder="1" applyAlignment="1">
      <alignment horizontal="center" vertical="center" shrinkToFit="1"/>
    </xf>
    <xf numFmtId="0" fontId="142" fillId="0" borderId="0" xfId="0" applyFont="1" applyFill="1" applyBorder="1" applyAlignment="1">
      <alignment horizontal="left" vertical="center" shrinkToFit="1"/>
    </xf>
    <xf numFmtId="0" fontId="44" fillId="2" borderId="23" xfId="0" applyFont="1" applyFill="1" applyBorder="1" applyAlignment="1">
      <alignment horizontal="left" vertical="center" shrinkToFit="1"/>
    </xf>
    <xf numFmtId="0" fontId="44" fillId="2" borderId="24" xfId="0" applyNumberFormat="1" applyFont="1" applyFill="1" applyBorder="1" applyAlignment="1">
      <alignment horizontal="center" vertical="center" shrinkToFit="1"/>
    </xf>
    <xf numFmtId="1" fontId="153" fillId="13" borderId="1" xfId="0" applyNumberFormat="1" applyFont="1" applyFill="1" applyBorder="1" applyAlignment="1">
      <alignment horizontal="center" vertical="center"/>
    </xf>
    <xf numFmtId="14" fontId="153" fillId="2" borderId="4" xfId="0" applyNumberFormat="1" applyFont="1" applyFill="1" applyBorder="1" applyAlignment="1">
      <alignment horizontal="center" vertical="center"/>
    </xf>
    <xf numFmtId="14" fontId="183" fillId="2" borderId="4" xfId="0" applyNumberFormat="1" applyFont="1" applyFill="1" applyBorder="1" applyAlignment="1">
      <alignment horizontal="center" vertical="center"/>
    </xf>
    <xf numFmtId="1" fontId="183" fillId="2" borderId="4" xfId="0" applyNumberFormat="1" applyFont="1" applyFill="1" applyBorder="1" applyAlignment="1">
      <alignment horizontal="center" vertical="center"/>
    </xf>
    <xf numFmtId="0" fontId="108" fillId="4" borderId="19" xfId="0" applyFont="1" applyFill="1" applyBorder="1" applyAlignment="1">
      <alignment horizontal="center" vertical="center" wrapText="1"/>
    </xf>
    <xf numFmtId="0" fontId="32" fillId="4" borderId="1" xfId="0" applyFont="1" applyFill="1" applyBorder="1" applyAlignment="1">
      <alignment horizontal="center" vertical="center"/>
    </xf>
    <xf numFmtId="0" fontId="227" fillId="30" borderId="1" xfId="0" applyFont="1" applyFill="1" applyBorder="1" applyAlignment="1">
      <alignment horizontal="center" vertical="center" wrapText="1"/>
    </xf>
    <xf numFmtId="0" fontId="235" fillId="4" borderId="2" xfId="0" applyFont="1" applyFill="1" applyBorder="1" applyAlignment="1">
      <alignment horizontal="center" vertical="center" shrinkToFit="1"/>
    </xf>
    <xf numFmtId="0" fontId="235" fillId="4" borderId="1" xfId="0" applyFont="1" applyFill="1" applyBorder="1" applyAlignment="1">
      <alignment horizontal="center" vertical="center" shrinkToFit="1"/>
    </xf>
    <xf numFmtId="14" fontId="4" fillId="2" borderId="1" xfId="0" applyNumberFormat="1" applyFont="1" applyFill="1" applyBorder="1" applyAlignment="1">
      <alignment horizontal="center" vertical="center" shrinkToFit="1"/>
    </xf>
    <xf numFmtId="1" fontId="4" fillId="2" borderId="1" xfId="0" applyNumberFormat="1" applyFont="1" applyFill="1" applyBorder="1" applyAlignment="1">
      <alignment horizontal="center" vertical="center" shrinkToFit="1"/>
    </xf>
    <xf numFmtId="0" fontId="70" fillId="4" borderId="0" xfId="0" applyFont="1" applyFill="1" applyAlignment="1">
      <alignment horizontal="center" vertical="center" shrinkToFit="1"/>
    </xf>
    <xf numFmtId="0" fontId="238" fillId="0" borderId="1" xfId="0" applyFont="1" applyBorder="1" applyAlignment="1">
      <alignment horizontal="center" vertical="center" shrinkToFit="1"/>
    </xf>
    <xf numFmtId="0" fontId="238" fillId="2" borderId="1" xfId="0" applyFont="1" applyFill="1" applyBorder="1" applyAlignment="1">
      <alignment horizontal="center" vertical="center" shrinkToFit="1"/>
    </xf>
    <xf numFmtId="0" fontId="26" fillId="0" borderId="0" xfId="0" applyFont="1" applyAlignment="1">
      <alignment vertical="center" shrinkToFit="1"/>
    </xf>
    <xf numFmtId="0" fontId="25" fillId="0" borderId="0" xfId="0" applyFont="1" applyAlignment="1">
      <alignment vertical="center" shrinkToFit="1"/>
    </xf>
    <xf numFmtId="0" fontId="2" fillId="0" borderId="0" xfId="0" applyFont="1" applyAlignment="1">
      <alignment horizontal="center" vertical="center" shrinkToFit="1"/>
    </xf>
    <xf numFmtId="0" fontId="67" fillId="4" borderId="1" xfId="0" applyFont="1" applyFill="1" applyBorder="1" applyAlignment="1">
      <alignment horizontal="center" vertical="center" shrinkToFit="1"/>
    </xf>
    <xf numFmtId="0" fontId="236" fillId="0" borderId="1" xfId="0" applyFont="1" applyBorder="1" applyAlignment="1">
      <alignment vertical="center" shrinkToFit="1"/>
    </xf>
    <xf numFmtId="0" fontId="236" fillId="2" borderId="1" xfId="0" applyFont="1" applyFill="1" applyBorder="1" applyAlignment="1">
      <alignment vertical="center" shrinkToFit="1"/>
    </xf>
    <xf numFmtId="0" fontId="219" fillId="0" borderId="0" xfId="0" applyFont="1" applyAlignment="1">
      <alignment horizontal="right" shrinkToFit="1"/>
    </xf>
    <xf numFmtId="0" fontId="167" fillId="0" borderId="0" xfId="0" applyFont="1" applyAlignment="1">
      <alignment horizontal="right" shrinkToFit="1"/>
    </xf>
    <xf numFmtId="22" fontId="2" fillId="0" borderId="0" xfId="0" applyNumberFormat="1" applyFont="1" applyAlignment="1">
      <alignment vertical="center" shrinkToFit="1"/>
    </xf>
    <xf numFmtId="0" fontId="37" fillId="2" borderId="1" xfId="0" applyFont="1" applyFill="1" applyBorder="1" applyAlignment="1">
      <alignment vertical="center" shrinkToFit="1"/>
    </xf>
    <xf numFmtId="1" fontId="6" fillId="2" borderId="1" xfId="0" applyNumberFormat="1" applyFont="1" applyFill="1" applyBorder="1" applyAlignment="1">
      <alignment horizontal="center" vertical="center" shrinkToFit="1"/>
    </xf>
    <xf numFmtId="0" fontId="46" fillId="2" borderId="1" xfId="0" applyFont="1" applyFill="1" applyBorder="1" applyAlignment="1">
      <alignment vertical="center" shrinkToFit="1"/>
    </xf>
    <xf numFmtId="0" fontId="238" fillId="0" borderId="1" xfId="0" applyFont="1" applyFill="1" applyBorder="1" applyAlignment="1">
      <alignment horizontal="center" vertical="center" shrinkToFit="1"/>
    </xf>
    <xf numFmtId="0" fontId="37" fillId="0" borderId="1" xfId="0" applyFont="1" applyFill="1" applyBorder="1" applyAlignment="1">
      <alignment vertical="center" shrinkToFit="1"/>
    </xf>
    <xf numFmtId="14" fontId="6" fillId="0" borderId="1" xfId="0" applyNumberFormat="1" applyFont="1" applyFill="1" applyBorder="1" applyAlignment="1">
      <alignment horizontal="center" vertical="center" shrinkToFit="1"/>
    </xf>
    <xf numFmtId="0" fontId="46" fillId="0" borderId="1" xfId="0" applyFont="1" applyFill="1" applyBorder="1" applyAlignment="1">
      <alignment vertical="center" shrinkToFit="1"/>
    </xf>
    <xf numFmtId="1" fontId="48" fillId="2" borderId="1" xfId="1" applyNumberFormat="1" applyFont="1" applyFill="1" applyBorder="1" applyAlignment="1">
      <alignment horizontal="center" vertical="center" shrinkToFit="1"/>
    </xf>
    <xf numFmtId="3" fontId="18" fillId="2" borderId="31" xfId="0" applyNumberFormat="1" applyFont="1" applyFill="1" applyBorder="1" applyAlignment="1">
      <alignment horizontal="right" vertical="center" shrinkToFit="1"/>
    </xf>
    <xf numFmtId="0" fontId="18" fillId="2" borderId="42" xfId="0" applyNumberFormat="1" applyFont="1" applyFill="1" applyBorder="1" applyAlignment="1">
      <alignment horizontal="left" vertical="center" shrinkToFit="1"/>
    </xf>
    <xf numFmtId="0" fontId="18" fillId="23" borderId="12" xfId="0" applyNumberFormat="1" applyFont="1" applyFill="1" applyBorder="1" applyAlignment="1">
      <alignment horizontal="left" vertical="center" shrinkToFit="1"/>
    </xf>
    <xf numFmtId="3" fontId="90" fillId="23" borderId="1" xfId="0" applyNumberFormat="1" applyFont="1" applyFill="1" applyBorder="1" applyAlignment="1">
      <alignment horizontal="center" vertical="center" shrinkToFit="1"/>
    </xf>
    <xf numFmtId="3" fontId="18" fillId="23" borderId="1" xfId="0" applyNumberFormat="1" applyFont="1" applyFill="1" applyBorder="1" applyAlignment="1">
      <alignment horizontal="right" vertical="center" shrinkToFit="1"/>
    </xf>
    <xf numFmtId="3" fontId="211" fillId="2" borderId="1" xfId="0" applyNumberFormat="1" applyFont="1" applyFill="1" applyBorder="1" applyAlignment="1">
      <alignment horizontal="center" vertical="center" shrinkToFit="1"/>
    </xf>
    <xf numFmtId="0" fontId="18" fillId="2" borderId="10" xfId="0" applyNumberFormat="1" applyFont="1" applyFill="1" applyBorder="1" applyAlignment="1">
      <alignment horizontal="left" vertical="center" shrinkToFit="1"/>
    </xf>
    <xf numFmtId="0" fontId="181" fillId="2" borderId="16" xfId="0" applyFont="1" applyFill="1" applyBorder="1" applyAlignment="1">
      <alignment horizontal="center" vertical="center"/>
    </xf>
    <xf numFmtId="0" fontId="242" fillId="0" borderId="16" xfId="0" applyFont="1" applyBorder="1" applyAlignment="1">
      <alignment vertical="center"/>
    </xf>
    <xf numFmtId="3" fontId="242" fillId="0" borderId="14" xfId="0" applyNumberFormat="1" applyFont="1" applyBorder="1" applyAlignment="1">
      <alignment horizontal="center" vertical="center"/>
    </xf>
    <xf numFmtId="0" fontId="242" fillId="2" borderId="16" xfId="0" applyFont="1" applyFill="1" applyBorder="1" applyAlignment="1">
      <alignment vertical="center"/>
    </xf>
    <xf numFmtId="3" fontId="242" fillId="2" borderId="14" xfId="0" applyNumberFormat="1" applyFont="1" applyFill="1" applyBorder="1" applyAlignment="1">
      <alignment horizontal="center" vertical="center"/>
    </xf>
    <xf numFmtId="0" fontId="63" fillId="2" borderId="1" xfId="0" applyFont="1" applyFill="1" applyBorder="1" applyAlignment="1">
      <alignment vertical="center"/>
    </xf>
    <xf numFmtId="0" fontId="63" fillId="2" borderId="11" xfId="0" applyFont="1" applyFill="1" applyBorder="1" applyAlignment="1">
      <alignment vertical="center"/>
    </xf>
    <xf numFmtId="0" fontId="63" fillId="2" borderId="12" xfId="0" applyFont="1" applyFill="1" applyBorder="1" applyAlignment="1">
      <alignment vertical="center"/>
    </xf>
    <xf numFmtId="0" fontId="38" fillId="4" borderId="1" xfId="0" applyFont="1" applyFill="1" applyBorder="1" applyAlignment="1">
      <alignment horizontal="center" vertical="center" wrapText="1"/>
    </xf>
    <xf numFmtId="3" fontId="3" fillId="4" borderId="1" xfId="0" applyNumberFormat="1" applyFont="1" applyFill="1" applyBorder="1" applyAlignment="1">
      <alignment horizontal="center" vertical="center"/>
    </xf>
    <xf numFmtId="3" fontId="3" fillId="4" borderId="1" xfId="0" applyNumberFormat="1" applyFont="1" applyFill="1" applyBorder="1" applyAlignment="1">
      <alignment horizontal="right" vertical="center" shrinkToFit="1"/>
    </xf>
    <xf numFmtId="3" fontId="243" fillId="0" borderId="1" xfId="0" applyNumberFormat="1" applyFont="1" applyFill="1" applyBorder="1" applyAlignment="1">
      <alignment horizontal="center" vertical="center" shrinkToFit="1"/>
    </xf>
    <xf numFmtId="3" fontId="244" fillId="0" borderId="1" xfId="0" applyNumberFormat="1" applyFont="1" applyFill="1" applyBorder="1" applyAlignment="1">
      <alignment horizontal="center" vertical="center" shrinkToFit="1"/>
    </xf>
    <xf numFmtId="0" fontId="44" fillId="7" borderId="23" xfId="0" applyFont="1" applyFill="1" applyBorder="1" applyAlignment="1">
      <alignment horizontal="left" vertical="center" shrinkToFit="1"/>
    </xf>
    <xf numFmtId="0" fontId="44" fillId="7" borderId="1" xfId="0" applyNumberFormat="1" applyFont="1" applyFill="1" applyBorder="1" applyAlignment="1">
      <alignment horizontal="center" vertical="center" shrinkToFit="1"/>
    </xf>
    <xf numFmtId="0" fontId="44" fillId="7" borderId="24" xfId="0" applyNumberFormat="1" applyFont="1" applyFill="1" applyBorder="1" applyAlignment="1">
      <alignment horizontal="center" vertical="center" shrinkToFit="1"/>
    </xf>
    <xf numFmtId="0" fontId="44" fillId="23" borderId="47" xfId="0" applyFont="1" applyFill="1" applyBorder="1" applyAlignment="1">
      <alignment horizontal="left" vertical="center" shrinkToFit="1"/>
    </xf>
    <xf numFmtId="0" fontId="44" fillId="23" borderId="48" xfId="0" applyFont="1" applyFill="1" applyBorder="1" applyAlignment="1">
      <alignment horizontal="left" vertical="center" shrinkToFit="1"/>
    </xf>
    <xf numFmtId="0" fontId="44" fillId="2" borderId="25" xfId="0" applyFont="1" applyFill="1" applyBorder="1" applyAlignment="1">
      <alignment horizontal="left" vertical="center" shrinkToFit="1"/>
    </xf>
    <xf numFmtId="0" fontId="44" fillId="2" borderId="27" xfId="0" applyNumberFormat="1" applyFont="1" applyFill="1" applyBorder="1" applyAlignment="1">
      <alignment horizontal="center" vertical="center" shrinkToFit="1"/>
    </xf>
    <xf numFmtId="0" fontId="229" fillId="2" borderId="1" xfId="0" applyFont="1" applyFill="1" applyBorder="1" applyAlignment="1">
      <alignment horizontal="center" vertical="center" wrapText="1"/>
    </xf>
    <xf numFmtId="0" fontId="230" fillId="2" borderId="1" xfId="0" applyFont="1" applyFill="1" applyBorder="1" applyAlignment="1">
      <alignment horizontal="center" vertical="center" wrapText="1"/>
    </xf>
    <xf numFmtId="0" fontId="245" fillId="0" borderId="0" xfId="0" applyFont="1"/>
    <xf numFmtId="0" fontId="138" fillId="0" borderId="5" xfId="0" applyFont="1" applyBorder="1" applyAlignment="1">
      <alignment vertical="center"/>
    </xf>
    <xf numFmtId="0" fontId="136" fillId="0" borderId="6" xfId="0" applyFont="1" applyBorder="1"/>
    <xf numFmtId="0" fontId="213" fillId="2" borderId="6" xfId="0" quotePrefix="1" applyFont="1" applyFill="1" applyBorder="1" applyAlignment="1">
      <alignment horizontal="right" vertical="center"/>
    </xf>
    <xf numFmtId="0" fontId="136" fillId="0" borderId="7" xfId="0" applyFont="1" applyBorder="1"/>
    <xf numFmtId="0" fontId="138" fillId="0" borderId="13" xfId="0" applyFont="1" applyBorder="1" applyAlignment="1">
      <alignment vertical="center"/>
    </xf>
    <xf numFmtId="0" fontId="136" fillId="0" borderId="15" xfId="0" applyFont="1" applyBorder="1"/>
    <xf numFmtId="0" fontId="138" fillId="0" borderId="8" xfId="0" applyFont="1" applyBorder="1" applyAlignment="1">
      <alignment vertical="center"/>
    </xf>
    <xf numFmtId="0" fontId="136" fillId="0" borderId="9" xfId="0" applyFont="1" applyBorder="1"/>
    <xf numFmtId="0" fontId="213" fillId="2" borderId="9" xfId="0" quotePrefix="1" applyFont="1" applyFill="1" applyBorder="1" applyAlignment="1">
      <alignment horizontal="right" vertical="center"/>
    </xf>
    <xf numFmtId="0" fontId="136" fillId="0" borderId="10" xfId="0" applyFont="1" applyBorder="1"/>
    <xf numFmtId="0" fontId="214" fillId="0" borderId="5" xfId="0" applyFont="1" applyBorder="1" applyAlignment="1">
      <alignment vertical="center"/>
    </xf>
    <xf numFmtId="0" fontId="213" fillId="0" borderId="6" xfId="0" quotePrefix="1" applyFont="1" applyBorder="1" applyAlignment="1">
      <alignment vertical="center"/>
    </xf>
    <xf numFmtId="0" fontId="214" fillId="0" borderId="13" xfId="0" applyFont="1" applyBorder="1" applyAlignment="1">
      <alignment vertical="center"/>
    </xf>
    <xf numFmtId="0" fontId="136" fillId="0" borderId="15" xfId="0" applyFont="1" applyBorder="1" applyAlignment="1">
      <alignment horizontal="left"/>
    </xf>
    <xf numFmtId="0" fontId="214" fillId="0" borderId="8" xfId="0" applyFont="1" applyBorder="1" applyAlignment="1">
      <alignment vertical="center"/>
    </xf>
    <xf numFmtId="0" fontId="213" fillId="0" borderId="9" xfId="0" quotePrefix="1" applyFont="1" applyBorder="1" applyAlignment="1">
      <alignment vertical="center"/>
    </xf>
    <xf numFmtId="0" fontId="7" fillId="25" borderId="0" xfId="0" applyFont="1" applyFill="1" applyAlignment="1">
      <alignment horizontal="center" vertical="center" shrinkToFit="1"/>
    </xf>
    <xf numFmtId="14" fontId="35" fillId="0" borderId="1" xfId="0" applyNumberFormat="1" applyFont="1" applyBorder="1" applyAlignment="1">
      <alignment horizontal="center" vertical="center" shrinkToFit="1"/>
    </xf>
    <xf numFmtId="0" fontId="6" fillId="2" borderId="17" xfId="0" quotePrefix="1" applyNumberFormat="1" applyFont="1" applyFill="1" applyBorder="1" applyAlignment="1" applyProtection="1">
      <alignment horizontal="left" vertical="center"/>
    </xf>
    <xf numFmtId="0" fontId="6" fillId="2" borderId="1" xfId="0" applyNumberFormat="1" applyFont="1" applyFill="1" applyBorder="1" applyAlignment="1">
      <alignment horizontal="left" vertical="center"/>
    </xf>
    <xf numFmtId="0" fontId="5" fillId="0" borderId="0" xfId="0" applyFont="1" applyAlignment="1">
      <alignment horizontal="left"/>
    </xf>
    <xf numFmtId="0" fontId="124" fillId="27" borderId="11" xfId="0" quotePrefix="1" applyNumberFormat="1" applyFont="1" applyFill="1" applyBorder="1" applyAlignment="1">
      <alignment horizontal="left" vertical="center"/>
    </xf>
    <xf numFmtId="0" fontId="124" fillId="27" borderId="17" xfId="0" quotePrefix="1" applyNumberFormat="1" applyFont="1" applyFill="1" applyBorder="1" applyAlignment="1">
      <alignment horizontal="left" vertical="center"/>
    </xf>
    <xf numFmtId="0" fontId="124" fillId="27" borderId="12" xfId="0" quotePrefix="1" applyNumberFormat="1" applyFont="1" applyFill="1" applyBorder="1" applyAlignment="1">
      <alignment horizontal="left" vertical="center"/>
    </xf>
    <xf numFmtId="0" fontId="13" fillId="0" borderId="2" xfId="0" applyNumberFormat="1" applyFont="1" applyFill="1" applyBorder="1" applyAlignment="1">
      <alignment vertical="center" shrinkToFit="1"/>
    </xf>
    <xf numFmtId="0" fontId="225" fillId="0" borderId="2" xfId="0" applyNumberFormat="1" applyFont="1" applyFill="1" applyBorder="1" applyAlignment="1">
      <alignment vertical="center" shrinkToFit="1"/>
    </xf>
    <xf numFmtId="0" fontId="225" fillId="0" borderId="8" xfId="0" applyNumberFormat="1" applyFont="1" applyFill="1" applyBorder="1" applyAlignment="1">
      <alignment horizontal="center" vertical="center" shrinkToFit="1"/>
    </xf>
    <xf numFmtId="0" fontId="124" fillId="36" borderId="1" xfId="0" quotePrefix="1" applyNumberFormat="1" applyFont="1" applyFill="1" applyBorder="1" applyAlignment="1">
      <alignment horizontal="center" vertical="center"/>
    </xf>
    <xf numFmtId="3" fontId="97" fillId="4" borderId="0" xfId="0" applyNumberFormat="1" applyFont="1" applyFill="1" applyBorder="1" applyAlignment="1">
      <alignment horizontal="center" vertical="center" shrinkToFit="1"/>
    </xf>
    <xf numFmtId="164" fontId="193" fillId="26" borderId="1" xfId="0" applyNumberFormat="1" applyFont="1" applyFill="1" applyBorder="1" applyAlignment="1">
      <alignment horizontal="center" vertical="center" shrinkToFit="1"/>
    </xf>
    <xf numFmtId="165" fontId="193" fillId="26" borderId="1" xfId="0" applyNumberFormat="1" applyFont="1" applyFill="1" applyBorder="1" applyAlignment="1">
      <alignment horizontal="center" vertical="center" shrinkToFit="1"/>
    </xf>
    <xf numFmtId="165" fontId="100" fillId="26" borderId="1" xfId="0" applyNumberFormat="1" applyFont="1" applyFill="1" applyBorder="1" applyAlignment="1">
      <alignment horizontal="center" vertical="center" shrinkToFit="1"/>
    </xf>
    <xf numFmtId="165" fontId="102" fillId="26" borderId="1" xfId="0" applyNumberFormat="1" applyFont="1" applyFill="1" applyBorder="1" applyAlignment="1">
      <alignment horizontal="center" vertical="center" shrinkToFit="1"/>
    </xf>
    <xf numFmtId="0" fontId="5" fillId="0" borderId="3" xfId="0" applyFont="1" applyBorder="1"/>
    <xf numFmtId="0" fontId="5" fillId="0" borderId="4" xfId="0" applyFont="1" applyBorder="1"/>
    <xf numFmtId="0" fontId="217" fillId="4" borderId="1" xfId="0" applyFont="1" applyFill="1" applyBorder="1" applyAlignment="1">
      <alignment horizontal="center" vertical="center"/>
    </xf>
    <xf numFmtId="3" fontId="218" fillId="0" borderId="1" xfId="0" applyNumberFormat="1" applyFont="1" applyFill="1" applyBorder="1" applyAlignment="1">
      <alignment horizontal="center" vertical="center" shrinkToFit="1"/>
    </xf>
    <xf numFmtId="0" fontId="248" fillId="0" borderId="2" xfId="0" applyFont="1" applyBorder="1" applyAlignment="1">
      <alignment vertical="center" shrinkToFit="1"/>
    </xf>
    <xf numFmtId="3" fontId="248" fillId="0" borderId="31" xfId="0" applyNumberFormat="1" applyFont="1" applyBorder="1" applyAlignment="1">
      <alignment vertical="center"/>
    </xf>
    <xf numFmtId="3" fontId="248" fillId="0" borderId="3" xfId="0" applyNumberFormat="1" applyFont="1" applyBorder="1" applyAlignment="1">
      <alignment vertical="center"/>
    </xf>
    <xf numFmtId="3" fontId="248" fillId="0" borderId="40" xfId="0" applyNumberFormat="1" applyFont="1" applyBorder="1" applyAlignment="1">
      <alignment vertical="center"/>
    </xf>
    <xf numFmtId="0" fontId="248" fillId="2" borderId="2" xfId="0" applyFont="1" applyFill="1" applyBorder="1" applyAlignment="1">
      <alignment vertical="center" shrinkToFit="1"/>
    </xf>
    <xf numFmtId="3" fontId="248" fillId="2" borderId="31" xfId="0" applyNumberFormat="1" applyFont="1" applyFill="1" applyBorder="1" applyAlignment="1">
      <alignment vertical="center"/>
    </xf>
    <xf numFmtId="3" fontId="248" fillId="2" borderId="3" xfId="0" applyNumberFormat="1" applyFont="1" applyFill="1" applyBorder="1" applyAlignment="1">
      <alignment vertical="center"/>
    </xf>
    <xf numFmtId="3" fontId="248" fillId="2" borderId="40" xfId="0" applyNumberFormat="1" applyFont="1" applyFill="1" applyBorder="1" applyAlignment="1">
      <alignment vertical="center"/>
    </xf>
    <xf numFmtId="3" fontId="248" fillId="0" borderId="32" xfId="0" applyNumberFormat="1" applyFont="1" applyBorder="1" applyAlignment="1">
      <alignment vertical="center"/>
    </xf>
    <xf numFmtId="3" fontId="248" fillId="0" borderId="41" xfId="0" applyNumberFormat="1" applyFont="1" applyBorder="1" applyAlignment="1">
      <alignment vertical="center"/>
    </xf>
    <xf numFmtId="3" fontId="248" fillId="0" borderId="39" xfId="0" applyNumberFormat="1" applyFont="1" applyBorder="1" applyAlignment="1">
      <alignment vertical="center"/>
    </xf>
    <xf numFmtId="0" fontId="35" fillId="0" borderId="1" xfId="0" applyFont="1" applyBorder="1" applyAlignment="1">
      <alignment horizontal="left" vertical="center" shrinkToFit="1"/>
    </xf>
    <xf numFmtId="0" fontId="14" fillId="18" borderId="1" xfId="0" applyNumberFormat="1" applyFont="1" applyFill="1" applyBorder="1" applyAlignment="1">
      <alignment horizontal="center" vertical="center"/>
    </xf>
    <xf numFmtId="170" fontId="47" fillId="0" borderId="1" xfId="0" applyNumberFormat="1" applyFont="1" applyBorder="1" applyAlignment="1">
      <alignment horizontal="center" vertical="center" shrinkToFit="1"/>
    </xf>
    <xf numFmtId="0" fontId="249" fillId="7" borderId="1" xfId="0" applyFont="1" applyFill="1" applyBorder="1" applyAlignment="1">
      <alignment horizontal="center" vertical="center" wrapText="1"/>
    </xf>
    <xf numFmtId="0" fontId="14" fillId="24" borderId="7" xfId="0" applyFont="1" applyFill="1" applyBorder="1" applyAlignment="1">
      <alignment horizontal="center" vertical="center" shrinkToFit="1"/>
    </xf>
    <xf numFmtId="3" fontId="3" fillId="24" borderId="7" xfId="0" applyNumberFormat="1" applyFont="1" applyFill="1" applyBorder="1" applyAlignment="1">
      <alignment horizontal="center" vertical="center" shrinkToFit="1"/>
    </xf>
    <xf numFmtId="0" fontId="3" fillId="24" borderId="7" xfId="0" applyFont="1" applyFill="1" applyBorder="1" applyAlignment="1">
      <alignment horizontal="center" vertical="center" shrinkToFit="1"/>
    </xf>
    <xf numFmtId="3" fontId="49" fillId="0" borderId="28" xfId="0" applyNumberFormat="1" applyFont="1" applyFill="1" applyBorder="1" applyAlignment="1">
      <alignment horizontal="left" vertical="center" shrinkToFit="1"/>
    </xf>
    <xf numFmtId="3" fontId="49" fillId="0" borderId="29" xfId="0" applyNumberFormat="1" applyFont="1" applyFill="1" applyBorder="1" applyAlignment="1">
      <alignment horizontal="right" vertical="center" shrinkToFit="1"/>
    </xf>
    <xf numFmtId="3" fontId="49" fillId="0" borderId="22" xfId="0" applyNumberFormat="1" applyFont="1" applyFill="1" applyBorder="1" applyAlignment="1">
      <alignment horizontal="center" vertical="center" shrinkToFit="1"/>
    </xf>
    <xf numFmtId="3" fontId="49" fillId="0" borderId="23" xfId="0" applyNumberFormat="1" applyFont="1" applyFill="1" applyBorder="1" applyAlignment="1">
      <alignment horizontal="left" vertical="center" shrinkToFit="1"/>
    </xf>
    <xf numFmtId="3" fontId="49" fillId="0" borderId="24" xfId="0" applyNumberFormat="1" applyFont="1" applyFill="1" applyBorder="1" applyAlignment="1">
      <alignment horizontal="center" vertical="center" shrinkToFit="1"/>
    </xf>
    <xf numFmtId="3" fontId="49" fillId="0" borderId="25" xfId="0" applyNumberFormat="1" applyFont="1" applyFill="1" applyBorder="1" applyAlignment="1">
      <alignment horizontal="left" vertical="center" shrinkToFit="1"/>
    </xf>
    <xf numFmtId="3" fontId="49" fillId="0" borderId="26" xfId="0" applyNumberFormat="1" applyFont="1" applyFill="1" applyBorder="1" applyAlignment="1">
      <alignment horizontal="right" vertical="center" shrinkToFit="1"/>
    </xf>
    <xf numFmtId="3" fontId="49" fillId="0" borderId="27" xfId="0" applyNumberFormat="1" applyFont="1" applyFill="1" applyBorder="1" applyAlignment="1">
      <alignment horizontal="center" vertical="center" shrinkToFit="1"/>
    </xf>
    <xf numFmtId="0" fontId="14" fillId="36" borderId="11" xfId="0" applyFont="1" applyFill="1" applyBorder="1" applyAlignment="1">
      <alignment horizontal="center" vertical="center" shrinkToFit="1"/>
    </xf>
    <xf numFmtId="3" fontId="14" fillId="36" borderId="7" xfId="0" applyNumberFormat="1" applyFont="1" applyFill="1" applyBorder="1" applyAlignment="1">
      <alignment horizontal="center" vertical="center" shrinkToFit="1"/>
    </xf>
    <xf numFmtId="0" fontId="3" fillId="36" borderId="7" xfId="0" applyFont="1" applyFill="1" applyBorder="1" applyAlignment="1">
      <alignment horizontal="center" vertical="center" shrinkToFit="1"/>
    </xf>
    <xf numFmtId="3" fontId="91" fillId="0" borderId="29" xfId="0" applyNumberFormat="1" applyFont="1" applyFill="1" applyBorder="1" applyAlignment="1">
      <alignment horizontal="right" vertical="center" shrinkToFit="1"/>
    </xf>
    <xf numFmtId="3" fontId="91" fillId="0" borderId="26" xfId="0" applyNumberFormat="1" applyFont="1" applyFill="1" applyBorder="1" applyAlignment="1">
      <alignment horizontal="right" vertical="center" shrinkToFit="1"/>
    </xf>
    <xf numFmtId="3" fontId="3" fillId="28" borderId="7" xfId="0" applyNumberFormat="1" applyFont="1" applyFill="1" applyBorder="1" applyAlignment="1">
      <alignment horizontal="center" vertical="center" shrinkToFit="1"/>
    </xf>
    <xf numFmtId="3" fontId="49" fillId="0" borderId="46" xfId="0" applyNumberFormat="1" applyFont="1" applyFill="1" applyBorder="1" applyAlignment="1">
      <alignment horizontal="right" vertical="center" shrinkToFit="1"/>
    </xf>
    <xf numFmtId="3" fontId="49" fillId="0" borderId="47" xfId="0" applyNumberFormat="1" applyFont="1" applyFill="1" applyBorder="1" applyAlignment="1">
      <alignment horizontal="right" vertical="center" shrinkToFit="1"/>
    </xf>
    <xf numFmtId="3" fontId="49" fillId="0" borderId="48" xfId="0" applyNumberFormat="1" applyFont="1" applyFill="1" applyBorder="1" applyAlignment="1">
      <alignment horizontal="right" vertical="center" shrinkToFit="1"/>
    </xf>
    <xf numFmtId="3" fontId="3" fillId="14" borderId="7" xfId="0" applyNumberFormat="1" applyFont="1" applyFill="1" applyBorder="1" applyAlignment="1">
      <alignment horizontal="center" vertical="center" shrinkToFit="1"/>
    </xf>
    <xf numFmtId="3" fontId="120" fillId="27" borderId="30" xfId="0" applyNumberFormat="1" applyFont="1" applyFill="1" applyBorder="1" applyAlignment="1">
      <alignment horizontal="left" vertical="center" shrinkToFit="1"/>
    </xf>
    <xf numFmtId="3" fontId="120" fillId="27" borderId="31" xfId="0" applyNumberFormat="1" applyFont="1" applyFill="1" applyBorder="1" applyAlignment="1">
      <alignment horizontal="left" vertical="center" shrinkToFit="1"/>
    </xf>
    <xf numFmtId="3" fontId="120" fillId="27" borderId="32" xfId="0" applyNumberFormat="1" applyFont="1" applyFill="1" applyBorder="1" applyAlignment="1">
      <alignment horizontal="left" vertical="center" shrinkToFit="1"/>
    </xf>
    <xf numFmtId="3" fontId="120" fillId="27" borderId="25" xfId="0" applyNumberFormat="1" applyFont="1" applyFill="1" applyBorder="1" applyAlignment="1">
      <alignment horizontal="center" vertical="center" shrinkToFit="1"/>
    </xf>
    <xf numFmtId="49" fontId="14" fillId="16" borderId="49" xfId="0" applyNumberFormat="1" applyFont="1" applyFill="1" applyBorder="1" applyAlignment="1">
      <alignment horizontal="center" vertical="center" shrinkToFit="1"/>
    </xf>
    <xf numFmtId="49" fontId="14" fillId="16" borderId="50" xfId="0" applyNumberFormat="1" applyFont="1" applyFill="1" applyBorder="1" applyAlignment="1">
      <alignment horizontal="center" vertical="center" shrinkToFit="1"/>
    </xf>
    <xf numFmtId="49" fontId="14" fillId="16" borderId="51" xfId="0" applyNumberFormat="1" applyFont="1" applyFill="1" applyBorder="1" applyAlignment="1">
      <alignment horizontal="center" vertical="center" shrinkToFit="1"/>
    </xf>
    <xf numFmtId="3" fontId="41" fillId="0" borderId="52" xfId="0" applyNumberFormat="1" applyFont="1" applyFill="1" applyBorder="1" applyAlignment="1">
      <alignment horizontal="right" vertical="center" shrinkToFit="1"/>
    </xf>
    <xf numFmtId="3" fontId="41" fillId="0" borderId="53" xfId="0" applyNumberFormat="1" applyFont="1" applyFill="1" applyBorder="1" applyAlignment="1">
      <alignment horizontal="right" vertical="center" shrinkToFit="1"/>
    </xf>
    <xf numFmtId="3" fontId="41" fillId="0" borderId="54" xfId="0" applyNumberFormat="1" applyFont="1" applyFill="1" applyBorder="1" applyAlignment="1">
      <alignment horizontal="right" vertical="center" shrinkToFit="1"/>
    </xf>
    <xf numFmtId="3" fontId="41" fillId="0" borderId="55" xfId="0" applyNumberFormat="1" applyFont="1" applyFill="1" applyBorder="1" applyAlignment="1">
      <alignment horizontal="right" vertical="center" shrinkToFit="1"/>
    </xf>
    <xf numFmtId="49" fontId="14" fillId="16" borderId="62" xfId="0" applyNumberFormat="1" applyFont="1" applyFill="1" applyBorder="1" applyAlignment="1">
      <alignment horizontal="center" vertical="center" shrinkToFit="1"/>
    </xf>
    <xf numFmtId="49" fontId="14" fillId="16" borderId="63" xfId="0" applyNumberFormat="1" applyFont="1" applyFill="1" applyBorder="1" applyAlignment="1">
      <alignment horizontal="center" vertical="center" shrinkToFit="1"/>
    </xf>
    <xf numFmtId="3" fontId="41" fillId="0" borderId="65" xfId="0" applyNumberFormat="1" applyFont="1" applyFill="1" applyBorder="1" applyAlignment="1">
      <alignment horizontal="right" vertical="center" shrinkToFit="1"/>
    </xf>
    <xf numFmtId="49" fontId="14" fillId="3" borderId="28" xfId="0" applyNumberFormat="1" applyFont="1" applyFill="1" applyBorder="1" applyAlignment="1">
      <alignment horizontal="center" vertical="center" shrinkToFit="1"/>
    </xf>
    <xf numFmtId="49" fontId="14" fillId="3" borderId="29" xfId="0" applyNumberFormat="1" applyFont="1" applyFill="1" applyBorder="1" applyAlignment="1">
      <alignment horizontal="center" vertical="center" shrinkToFit="1"/>
    </xf>
    <xf numFmtId="49" fontId="14" fillId="3" borderId="22" xfId="0" applyNumberFormat="1" applyFont="1" applyFill="1" applyBorder="1" applyAlignment="1">
      <alignment horizontal="center" vertical="center" shrinkToFit="1"/>
    </xf>
    <xf numFmtId="49" fontId="14" fillId="3" borderId="61" xfId="0" applyNumberFormat="1" applyFont="1" applyFill="1" applyBorder="1" applyAlignment="1">
      <alignment horizontal="center" vertical="center" shrinkToFit="1"/>
    </xf>
    <xf numFmtId="3" fontId="3" fillId="3" borderId="64" xfId="0" applyNumberFormat="1" applyFont="1" applyFill="1" applyBorder="1" applyAlignment="1">
      <alignment horizontal="center" vertical="center" shrinkToFit="1"/>
    </xf>
    <xf numFmtId="0" fontId="38" fillId="3" borderId="1" xfId="0" applyFont="1" applyFill="1" applyBorder="1" applyAlignment="1">
      <alignment horizontal="center" vertical="center" shrinkToFit="1"/>
    </xf>
    <xf numFmtId="0" fontId="3" fillId="3" borderId="5" xfId="0" applyFont="1" applyFill="1" applyBorder="1" applyAlignment="1">
      <alignment horizontal="center" vertical="center" shrinkToFit="1"/>
    </xf>
    <xf numFmtId="3" fontId="3" fillId="3" borderId="8" xfId="0" applyNumberFormat="1" applyFont="1" applyFill="1" applyBorder="1" applyAlignment="1">
      <alignment horizontal="center" vertical="center" shrinkToFit="1"/>
    </xf>
    <xf numFmtId="3" fontId="3" fillId="3" borderId="58" xfId="0" applyNumberFormat="1" applyFont="1" applyFill="1" applyBorder="1" applyAlignment="1">
      <alignment horizontal="right" vertical="center" shrinkToFit="1"/>
    </xf>
    <xf numFmtId="3" fontId="3" fillId="3" borderId="59" xfId="0" applyNumberFormat="1" applyFont="1" applyFill="1" applyBorder="1" applyAlignment="1">
      <alignment horizontal="right" vertical="center" shrinkToFit="1"/>
    </xf>
    <xf numFmtId="3" fontId="3" fillId="3" borderId="60" xfId="0" applyNumberFormat="1" applyFont="1" applyFill="1" applyBorder="1" applyAlignment="1">
      <alignment horizontal="right" vertical="center" shrinkToFit="1"/>
    </xf>
    <xf numFmtId="3" fontId="41" fillId="0" borderId="56" xfId="0" applyNumberFormat="1" applyFont="1" applyFill="1" applyBorder="1" applyAlignment="1">
      <alignment horizontal="right" vertical="center" shrinkToFit="1"/>
    </xf>
    <xf numFmtId="3" fontId="41" fillId="0" borderId="57" xfId="0" applyNumberFormat="1" applyFont="1" applyFill="1" applyBorder="1" applyAlignment="1">
      <alignment horizontal="right" vertical="center" shrinkToFit="1"/>
    </xf>
    <xf numFmtId="0" fontId="251" fillId="0" borderId="33" xfId="0" applyFont="1" applyBorder="1" applyAlignment="1"/>
    <xf numFmtId="0" fontId="44" fillId="0" borderId="1" xfId="0" applyFont="1" applyBorder="1" applyAlignment="1">
      <alignment vertical="center"/>
    </xf>
    <xf numFmtId="3" fontId="64" fillId="0" borderId="1" xfId="0" applyNumberFormat="1" applyFont="1" applyBorder="1" applyAlignment="1">
      <alignment vertical="center"/>
    </xf>
    <xf numFmtId="0" fontId="64" fillId="12" borderId="1" xfId="0" applyFont="1" applyFill="1" applyBorder="1" applyAlignment="1">
      <alignment vertical="center"/>
    </xf>
    <xf numFmtId="0" fontId="174" fillId="40" borderId="1" xfId="0" applyFont="1" applyFill="1" applyBorder="1" applyAlignment="1">
      <alignment vertical="center"/>
    </xf>
    <xf numFmtId="0" fontId="200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vertical="center"/>
    </xf>
    <xf numFmtId="0" fontId="71" fillId="0" borderId="1" xfId="0" applyFont="1" applyBorder="1" applyAlignment="1">
      <alignment vertical="center"/>
    </xf>
    <xf numFmtId="0" fontId="64" fillId="40" borderId="1" xfId="0" applyFont="1" applyFill="1" applyBorder="1" applyAlignment="1">
      <alignment vertical="center"/>
    </xf>
    <xf numFmtId="0" fontId="66" fillId="12" borderId="1" xfId="0" applyFont="1" applyFill="1" applyBorder="1" applyAlignment="1">
      <alignment vertical="center"/>
    </xf>
    <xf numFmtId="14" fontId="200" fillId="0" borderId="1" xfId="0" applyNumberFormat="1" applyFont="1" applyBorder="1" applyAlignment="1">
      <alignment horizontal="center" vertical="center"/>
    </xf>
    <xf numFmtId="3" fontId="40" fillId="0" borderId="25" xfId="0" applyNumberFormat="1" applyFont="1" applyFill="1" applyBorder="1" applyAlignment="1">
      <alignment horizontal="left" vertical="center"/>
    </xf>
    <xf numFmtId="3" fontId="41" fillId="0" borderId="26" xfId="0" applyNumberFormat="1" applyFont="1" applyFill="1" applyBorder="1" applyAlignment="1">
      <alignment horizontal="right" vertical="center"/>
    </xf>
    <xf numFmtId="3" fontId="41" fillId="0" borderId="27" xfId="0" applyNumberFormat="1" applyFont="1" applyFill="1" applyBorder="1" applyAlignment="1">
      <alignment horizontal="right" vertical="center"/>
    </xf>
    <xf numFmtId="0" fontId="15" fillId="4" borderId="11" xfId="0" applyFont="1" applyFill="1" applyBorder="1" applyAlignment="1">
      <alignment horizontal="center" vertical="center"/>
    </xf>
    <xf numFmtId="0" fontId="124" fillId="4" borderId="12" xfId="0" applyNumberFormat="1" applyFont="1" applyFill="1" applyBorder="1" applyAlignment="1">
      <alignment horizontal="center" vertical="center"/>
    </xf>
    <xf numFmtId="0" fontId="124" fillId="4" borderId="12" xfId="0" applyNumberFormat="1" applyFont="1" applyFill="1" applyBorder="1" applyAlignment="1">
      <alignment vertical="center"/>
    </xf>
    <xf numFmtId="0" fontId="105" fillId="0" borderId="28" xfId="0" applyNumberFormat="1" applyFont="1" applyFill="1" applyBorder="1" applyAlignment="1">
      <alignment horizontal="center" vertical="center"/>
    </xf>
    <xf numFmtId="0" fontId="6" fillId="0" borderId="22" xfId="0" applyNumberFormat="1" applyFont="1" applyFill="1" applyBorder="1" applyAlignment="1">
      <alignment vertical="center"/>
    </xf>
    <xf numFmtId="0" fontId="105" fillId="0" borderId="23" xfId="0" applyNumberFormat="1" applyFont="1" applyFill="1" applyBorder="1" applyAlignment="1">
      <alignment horizontal="center" vertical="center"/>
    </xf>
    <xf numFmtId="0" fontId="6" fillId="0" borderId="24" xfId="0" applyNumberFormat="1" applyFont="1" applyFill="1" applyBorder="1" applyAlignment="1">
      <alignment vertical="center"/>
    </xf>
    <xf numFmtId="0" fontId="105" fillId="0" borderId="25" xfId="0" applyNumberFormat="1" applyFont="1" applyFill="1" applyBorder="1" applyAlignment="1">
      <alignment horizontal="center" vertical="center"/>
    </xf>
    <xf numFmtId="0" fontId="6" fillId="0" borderId="27" xfId="0" applyNumberFormat="1" applyFont="1" applyFill="1" applyBorder="1" applyAlignment="1">
      <alignment vertical="center"/>
    </xf>
    <xf numFmtId="164" fontId="244" fillId="0" borderId="2" xfId="0" applyNumberFormat="1" applyFont="1" applyFill="1" applyBorder="1" applyAlignment="1">
      <alignment horizontal="left" vertical="center" shrinkToFit="1"/>
    </xf>
    <xf numFmtId="164" fontId="100" fillId="0" borderId="2" xfId="0" applyNumberFormat="1" applyFont="1" applyFill="1" applyBorder="1" applyAlignment="1">
      <alignment horizontal="left" vertical="center" shrinkToFit="1"/>
    </xf>
    <xf numFmtId="164" fontId="243" fillId="0" borderId="4" xfId="0" applyNumberFormat="1" applyFont="1" applyFill="1" applyBorder="1" applyAlignment="1">
      <alignment horizontal="center" vertical="center" shrinkToFit="1"/>
    </xf>
    <xf numFmtId="164" fontId="99" fillId="0" borderId="4" xfId="0" applyNumberFormat="1" applyFont="1" applyFill="1" applyBorder="1" applyAlignment="1">
      <alignment horizontal="center" vertical="center" shrinkToFit="1"/>
    </xf>
    <xf numFmtId="0" fontId="157" fillId="4" borderId="11" xfId="0" applyFont="1" applyFill="1" applyBorder="1" applyAlignment="1">
      <alignment horizontal="center" vertical="center" shrinkToFit="1"/>
    </xf>
    <xf numFmtId="164" fontId="244" fillId="0" borderId="46" xfId="0" applyNumberFormat="1" applyFont="1" applyFill="1" applyBorder="1" applyAlignment="1">
      <alignment horizontal="left" vertical="center" shrinkToFit="1"/>
    </xf>
    <xf numFmtId="164" fontId="100" fillId="0" borderId="47" xfId="0" applyNumberFormat="1" applyFont="1" applyFill="1" applyBorder="1" applyAlignment="1">
      <alignment horizontal="left" vertical="center" shrinkToFit="1"/>
    </xf>
    <xf numFmtId="164" fontId="244" fillId="0" borderId="47" xfId="0" applyNumberFormat="1" applyFont="1" applyFill="1" applyBorder="1" applyAlignment="1">
      <alignment horizontal="left" vertical="center" shrinkToFit="1"/>
    </xf>
    <xf numFmtId="164" fontId="100" fillId="0" borderId="48" xfId="0" applyNumberFormat="1" applyFont="1" applyFill="1" applyBorder="1" applyAlignment="1">
      <alignment horizontal="left" vertical="center" shrinkToFit="1"/>
    </xf>
    <xf numFmtId="14" fontId="35" fillId="0" borderId="1" xfId="0" applyNumberFormat="1" applyFont="1" applyBorder="1" applyAlignment="1">
      <alignment horizontal="left" vertical="center"/>
    </xf>
    <xf numFmtId="14" fontId="2" fillId="0" borderId="0" xfId="0" applyNumberFormat="1" applyFont="1" applyAlignment="1">
      <alignment horizontal="center" vertical="center"/>
    </xf>
    <xf numFmtId="171" fontId="4" fillId="0" borderId="1" xfId="0" applyNumberFormat="1" applyFont="1" applyFill="1" applyBorder="1" applyAlignment="1">
      <alignment horizontal="center" vertical="center" shrinkToFit="1"/>
    </xf>
    <xf numFmtId="1" fontId="6" fillId="48" borderId="1" xfId="0" applyNumberFormat="1" applyFont="1" applyFill="1" applyBorder="1" applyAlignment="1">
      <alignment horizontal="center" vertical="center" shrinkToFit="1"/>
    </xf>
    <xf numFmtId="0" fontId="37" fillId="0" borderId="0" xfId="0" applyFont="1" applyAlignment="1">
      <alignment vertical="center" shrinkToFit="1"/>
    </xf>
    <xf numFmtId="0" fontId="37" fillId="0" borderId="0" xfId="0" pivotButton="1" applyFont="1" applyAlignment="1">
      <alignment vertical="center" shrinkToFit="1"/>
    </xf>
    <xf numFmtId="0" fontId="37" fillId="0" borderId="1" xfId="0" applyFont="1" applyBorder="1" applyAlignment="1">
      <alignment horizontal="left" vertical="center" shrinkToFit="1"/>
    </xf>
    <xf numFmtId="0" fontId="37" fillId="0" borderId="1" xfId="0" pivotButton="1" applyFont="1" applyBorder="1" applyAlignment="1">
      <alignment horizontal="center" vertical="center" shrinkToFit="1"/>
    </xf>
    <xf numFmtId="0" fontId="37" fillId="0" borderId="1" xfId="0" applyFont="1" applyBorder="1" applyAlignment="1">
      <alignment horizontal="center" vertical="center" shrinkToFit="1"/>
    </xf>
    <xf numFmtId="3" fontId="37" fillId="0" borderId="1" xfId="0" applyNumberFormat="1" applyFont="1" applyBorder="1" applyAlignment="1">
      <alignment vertical="center" shrinkToFit="1"/>
    </xf>
    <xf numFmtId="0" fontId="37" fillId="7" borderId="1" xfId="0" applyFont="1" applyFill="1" applyBorder="1" applyAlignment="1">
      <alignment horizontal="left" vertical="center" shrinkToFit="1"/>
    </xf>
    <xf numFmtId="3" fontId="37" fillId="7" borderId="1" xfId="0" applyNumberFormat="1" applyFont="1" applyFill="1" applyBorder="1" applyAlignment="1">
      <alignment vertical="center" shrinkToFit="1"/>
    </xf>
    <xf numFmtId="3" fontId="37" fillId="27" borderId="1" xfId="0" applyNumberFormat="1" applyFont="1" applyFill="1" applyBorder="1" applyAlignment="1">
      <alignment vertical="center" shrinkToFit="1"/>
    </xf>
    <xf numFmtId="0" fontId="6" fillId="48" borderId="2" xfId="0" applyNumberFormat="1" applyFont="1" applyFill="1" applyBorder="1" applyAlignment="1">
      <alignment horizontal="left" vertical="center" indent="1"/>
    </xf>
    <xf numFmtId="0" fontId="6" fillId="48" borderId="1" xfId="0" applyNumberFormat="1" applyFont="1" applyFill="1" applyBorder="1" applyAlignment="1">
      <alignment vertical="center" shrinkToFit="1"/>
    </xf>
    <xf numFmtId="0" fontId="11" fillId="7" borderId="0" xfId="0" applyFont="1" applyFill="1" applyAlignment="1">
      <alignment horizontal="center" vertical="center"/>
    </xf>
    <xf numFmtId="0" fontId="6" fillId="48" borderId="4" xfId="0" applyNumberFormat="1" applyFont="1" applyFill="1" applyBorder="1" applyAlignment="1">
      <alignment horizontal="left" vertical="center" indent="1"/>
    </xf>
    <xf numFmtId="0" fontId="253" fillId="16" borderId="17" xfId="0" applyNumberFormat="1" applyFont="1" applyFill="1" applyBorder="1" applyAlignment="1">
      <alignment horizontal="left" vertical="center"/>
    </xf>
    <xf numFmtId="0" fontId="253" fillId="16" borderId="1" xfId="0" quotePrefix="1" applyNumberFormat="1" applyFont="1" applyFill="1" applyBorder="1" applyAlignment="1">
      <alignment horizontal="left" vertical="center"/>
    </xf>
    <xf numFmtId="0" fontId="253" fillId="16" borderId="1" xfId="0" quotePrefix="1" applyNumberFormat="1" applyFont="1" applyFill="1" applyBorder="1" applyAlignment="1" applyProtection="1">
      <alignment horizontal="left" vertical="center"/>
    </xf>
    <xf numFmtId="3" fontId="41" fillId="48" borderId="54" xfId="0" applyNumberFormat="1" applyFont="1" applyFill="1" applyBorder="1" applyAlignment="1">
      <alignment horizontal="right" vertical="center" shrinkToFit="1"/>
    </xf>
    <xf numFmtId="3" fontId="41" fillId="48" borderId="1" xfId="0" applyNumberFormat="1" applyFont="1" applyFill="1" applyBorder="1" applyAlignment="1">
      <alignment horizontal="right" vertical="center" shrinkToFit="1"/>
    </xf>
    <xf numFmtId="3" fontId="41" fillId="48" borderId="55" xfId="0" applyNumberFormat="1" applyFont="1" applyFill="1" applyBorder="1" applyAlignment="1">
      <alignment horizontal="right" vertical="center" shrinkToFit="1"/>
    </xf>
    <xf numFmtId="3" fontId="3" fillId="45" borderId="0" xfId="0" applyNumberFormat="1" applyFont="1" applyFill="1" applyBorder="1" applyAlignment="1">
      <alignment horizontal="right" vertical="center" shrinkToFit="1"/>
    </xf>
    <xf numFmtId="3" fontId="3" fillId="48" borderId="1" xfId="0" applyNumberFormat="1" applyFont="1" applyFill="1" applyBorder="1" applyAlignment="1">
      <alignment horizontal="right" vertical="center" shrinkToFit="1"/>
    </xf>
    <xf numFmtId="0" fontId="6" fillId="48" borderId="29" xfId="0" applyNumberFormat="1" applyFont="1" applyFill="1" applyBorder="1" applyAlignment="1">
      <alignment vertical="center"/>
    </xf>
    <xf numFmtId="0" fontId="6" fillId="48" borderId="1" xfId="0" applyNumberFormat="1" applyFont="1" applyFill="1" applyBorder="1" applyAlignment="1">
      <alignment vertical="center"/>
    </xf>
    <xf numFmtId="0" fontId="6" fillId="48" borderId="26" xfId="0" applyNumberFormat="1" applyFont="1" applyFill="1" applyBorder="1" applyAlignment="1">
      <alignment vertical="center"/>
    </xf>
    <xf numFmtId="0" fontId="253" fillId="0" borderId="24" xfId="0" applyNumberFormat="1" applyFont="1" applyFill="1" applyBorder="1" applyAlignment="1">
      <alignment vertical="center"/>
    </xf>
    <xf numFmtId="14" fontId="120" fillId="18" borderId="1" xfId="0" applyNumberFormat="1" applyFont="1" applyFill="1" applyBorder="1" applyAlignment="1">
      <alignment horizontal="center" vertical="center"/>
    </xf>
    <xf numFmtId="0" fontId="143" fillId="25" borderId="0" xfId="0" applyFont="1" applyFill="1" applyAlignment="1">
      <alignment horizontal="center" vertical="center"/>
    </xf>
    <xf numFmtId="0" fontId="113" fillId="21" borderId="11" xfId="0" applyFont="1" applyFill="1" applyBorder="1" applyAlignment="1">
      <alignment horizontal="center" vertical="center"/>
    </xf>
    <xf numFmtId="0" fontId="113" fillId="21" borderId="17" xfId="0" applyFont="1" applyFill="1" applyBorder="1" applyAlignment="1">
      <alignment horizontal="center" vertical="center"/>
    </xf>
    <xf numFmtId="0" fontId="113" fillId="21" borderId="12" xfId="0" applyFont="1" applyFill="1" applyBorder="1" applyAlignment="1">
      <alignment horizontal="center" vertical="center"/>
    </xf>
    <xf numFmtId="0" fontId="113" fillId="7" borderId="11" xfId="0" applyFont="1" applyFill="1" applyBorder="1" applyAlignment="1">
      <alignment horizontal="center" vertical="center"/>
    </xf>
    <xf numFmtId="0" fontId="113" fillId="7" borderId="17" xfId="0" applyFont="1" applyFill="1" applyBorder="1" applyAlignment="1">
      <alignment horizontal="center" vertical="center"/>
    </xf>
    <xf numFmtId="0" fontId="113" fillId="7" borderId="12" xfId="0" applyFont="1" applyFill="1" applyBorder="1" applyAlignment="1">
      <alignment horizontal="center" vertical="center"/>
    </xf>
    <xf numFmtId="0" fontId="79" fillId="5" borderId="15" xfId="1" applyFont="1" applyFill="1" applyBorder="1" applyAlignment="1">
      <alignment horizontal="center" vertical="center" textRotation="90"/>
    </xf>
    <xf numFmtId="0" fontId="114" fillId="35" borderId="11" xfId="0" quotePrefix="1" applyFont="1" applyFill="1" applyBorder="1" applyAlignment="1">
      <alignment horizontal="center" vertical="center"/>
    </xf>
    <xf numFmtId="0" fontId="114" fillId="35" borderId="12" xfId="0" quotePrefix="1" applyFont="1" applyFill="1" applyBorder="1" applyAlignment="1">
      <alignment horizontal="center" vertical="center"/>
    </xf>
    <xf numFmtId="0" fontId="115" fillId="42" borderId="5" xfId="0" quotePrefix="1" applyFont="1" applyFill="1" applyBorder="1" applyAlignment="1">
      <alignment vertical="center" wrapText="1"/>
    </xf>
    <xf numFmtId="0" fontId="115" fillId="42" borderId="6" xfId="0" quotePrefix="1" applyFont="1" applyFill="1" applyBorder="1" applyAlignment="1">
      <alignment vertical="center" wrapText="1"/>
    </xf>
    <xf numFmtId="0" fontId="115" fillId="42" borderId="7" xfId="0" quotePrefix="1" applyFont="1" applyFill="1" applyBorder="1" applyAlignment="1">
      <alignment vertical="center" wrapText="1"/>
    </xf>
    <xf numFmtId="0" fontId="75" fillId="42" borderId="13" xfId="0" quotePrefix="1" applyFont="1" applyFill="1" applyBorder="1" applyAlignment="1">
      <alignment horizontal="left" vertical="center" wrapText="1"/>
    </xf>
    <xf numFmtId="0" fontId="75" fillId="42" borderId="0" xfId="0" quotePrefix="1" applyFont="1" applyFill="1" applyBorder="1" applyAlignment="1">
      <alignment horizontal="left" vertical="center" wrapText="1"/>
    </xf>
    <xf numFmtId="0" fontId="75" fillId="42" borderId="15" xfId="0" quotePrefix="1" applyFont="1" applyFill="1" applyBorder="1" applyAlignment="1">
      <alignment horizontal="left" vertical="center" wrapText="1"/>
    </xf>
    <xf numFmtId="0" fontId="75" fillId="42" borderId="8" xfId="0" quotePrefix="1" applyFont="1" applyFill="1" applyBorder="1" applyAlignment="1">
      <alignment horizontal="left" vertical="center" wrapText="1"/>
    </xf>
    <xf numFmtId="0" fontId="75" fillId="42" borderId="9" xfId="0" quotePrefix="1" applyFont="1" applyFill="1" applyBorder="1" applyAlignment="1">
      <alignment horizontal="left" vertical="center" wrapText="1"/>
    </xf>
    <xf numFmtId="0" fontId="75" fillId="42" borderId="10" xfId="0" quotePrefix="1" applyFont="1" applyFill="1" applyBorder="1" applyAlignment="1">
      <alignment horizontal="left" vertical="center" wrapText="1"/>
    </xf>
    <xf numFmtId="0" fontId="32" fillId="46" borderId="13" xfId="0" quotePrefix="1" applyFont="1" applyFill="1" applyBorder="1" applyAlignment="1">
      <alignment horizontal="left" vertical="center" wrapText="1"/>
    </xf>
    <xf numFmtId="0" fontId="32" fillId="46" borderId="0" xfId="0" quotePrefix="1" applyFont="1" applyFill="1" applyBorder="1" applyAlignment="1">
      <alignment horizontal="left" vertical="center" wrapText="1"/>
    </xf>
    <xf numFmtId="0" fontId="32" fillId="46" borderId="15" xfId="0" quotePrefix="1" applyFont="1" applyFill="1" applyBorder="1" applyAlignment="1">
      <alignment horizontal="left" vertical="center" wrapText="1"/>
    </xf>
    <xf numFmtId="0" fontId="32" fillId="46" borderId="8" xfId="0" quotePrefix="1" applyFont="1" applyFill="1" applyBorder="1" applyAlignment="1">
      <alignment horizontal="left" vertical="center" wrapText="1"/>
    </xf>
    <xf numFmtId="0" fontId="32" fillId="46" borderId="9" xfId="0" quotePrefix="1" applyFont="1" applyFill="1" applyBorder="1" applyAlignment="1">
      <alignment horizontal="left" vertical="center" wrapText="1"/>
    </xf>
    <xf numFmtId="0" fontId="32" fillId="46" borderId="10" xfId="0" quotePrefix="1" applyFont="1" applyFill="1" applyBorder="1" applyAlignment="1">
      <alignment horizontal="left" vertical="center" wrapText="1"/>
    </xf>
    <xf numFmtId="0" fontId="113" fillId="39" borderId="11" xfId="0" quotePrefix="1" applyFont="1" applyFill="1" applyBorder="1" applyAlignment="1">
      <alignment horizontal="center" vertical="center"/>
    </xf>
    <xf numFmtId="0" fontId="113" fillId="39" borderId="17" xfId="0" applyFont="1" applyFill="1" applyBorder="1" applyAlignment="1">
      <alignment horizontal="center" vertical="center"/>
    </xf>
    <xf numFmtId="0" fontId="113" fillId="39" borderId="12" xfId="0" applyFont="1" applyFill="1" applyBorder="1" applyAlignment="1">
      <alignment horizontal="center" vertical="center"/>
    </xf>
    <xf numFmtId="0" fontId="115" fillId="39" borderId="5" xfId="0" quotePrefix="1" applyFont="1" applyFill="1" applyBorder="1" applyAlignment="1">
      <alignment vertical="center" wrapText="1"/>
    </xf>
    <xf numFmtId="0" fontId="115" fillId="39" borderId="6" xfId="0" quotePrefix="1" applyFont="1" applyFill="1" applyBorder="1" applyAlignment="1">
      <alignment vertical="center" wrapText="1"/>
    </xf>
    <xf numFmtId="0" fontId="115" fillId="39" borderId="7" xfId="0" quotePrefix="1" applyFont="1" applyFill="1" applyBorder="1" applyAlignment="1">
      <alignment vertical="center" wrapText="1"/>
    </xf>
    <xf numFmtId="0" fontId="93" fillId="39" borderId="13" xfId="0" quotePrefix="1" applyFont="1" applyFill="1" applyBorder="1" applyAlignment="1">
      <alignment horizontal="left" vertical="center" wrapText="1"/>
    </xf>
    <xf numFmtId="0" fontId="93" fillId="39" borderId="0" xfId="0" quotePrefix="1" applyFont="1" applyFill="1" applyBorder="1" applyAlignment="1">
      <alignment horizontal="left" vertical="center" wrapText="1"/>
    </xf>
    <xf numFmtId="0" fontId="93" fillId="39" borderId="15" xfId="0" quotePrefix="1" applyFont="1" applyFill="1" applyBorder="1" applyAlignment="1">
      <alignment horizontal="left" vertical="center" wrapText="1"/>
    </xf>
    <xf numFmtId="0" fontId="93" fillId="39" borderId="8" xfId="0" quotePrefix="1" applyFont="1" applyFill="1" applyBorder="1" applyAlignment="1">
      <alignment horizontal="left" vertical="center" wrapText="1"/>
    </xf>
    <xf numFmtId="0" fontId="93" fillId="39" borderId="9" xfId="0" quotePrefix="1" applyFont="1" applyFill="1" applyBorder="1" applyAlignment="1">
      <alignment horizontal="left" vertical="center" wrapText="1"/>
    </xf>
    <xf numFmtId="0" fontId="93" fillId="39" borderId="10" xfId="0" quotePrefix="1" applyFont="1" applyFill="1" applyBorder="1" applyAlignment="1">
      <alignment horizontal="left" vertical="center" wrapText="1"/>
    </xf>
    <xf numFmtId="0" fontId="75" fillId="35" borderId="5" xfId="0" quotePrefix="1" applyFont="1" applyFill="1" applyBorder="1" applyAlignment="1">
      <alignment horizontal="left" vertical="center" wrapText="1"/>
    </xf>
    <xf numFmtId="0" fontId="75" fillId="35" borderId="6" xfId="0" quotePrefix="1" applyFont="1" applyFill="1" applyBorder="1" applyAlignment="1">
      <alignment horizontal="left" vertical="center" wrapText="1"/>
    </xf>
    <xf numFmtId="0" fontId="75" fillId="35" borderId="7" xfId="0" quotePrefix="1" applyFont="1" applyFill="1" applyBorder="1" applyAlignment="1">
      <alignment horizontal="left" vertical="center" wrapText="1"/>
    </xf>
    <xf numFmtId="0" fontId="75" fillId="35" borderId="8" xfId="0" quotePrefix="1" applyFont="1" applyFill="1" applyBorder="1" applyAlignment="1">
      <alignment horizontal="left" vertical="center" wrapText="1"/>
    </xf>
    <xf numFmtId="0" fontId="75" fillId="35" borderId="9" xfId="0" quotePrefix="1" applyFont="1" applyFill="1" applyBorder="1" applyAlignment="1">
      <alignment horizontal="left" vertical="center" wrapText="1"/>
    </xf>
    <xf numFmtId="0" fontId="75" fillId="35" borderId="10" xfId="0" quotePrefix="1" applyFont="1" applyFill="1" applyBorder="1" applyAlignment="1">
      <alignment horizontal="left" vertical="center" wrapText="1"/>
    </xf>
    <xf numFmtId="0" fontId="119" fillId="46" borderId="11" xfId="0" applyFont="1" applyFill="1" applyBorder="1" applyAlignment="1">
      <alignment horizontal="center" vertical="center"/>
    </xf>
    <xf numFmtId="0" fontId="119" fillId="46" borderId="17" xfId="0" applyFont="1" applyFill="1" applyBorder="1" applyAlignment="1">
      <alignment horizontal="center" vertical="center"/>
    </xf>
    <xf numFmtId="0" fontId="119" fillId="46" borderId="12" xfId="0" applyFont="1" applyFill="1" applyBorder="1" applyAlignment="1">
      <alignment horizontal="center" vertical="center"/>
    </xf>
    <xf numFmtId="0" fontId="17" fillId="46" borderId="5" xfId="0" quotePrefix="1" applyFont="1" applyFill="1" applyBorder="1" applyAlignment="1">
      <alignment vertical="center" wrapText="1"/>
    </xf>
    <xf numFmtId="0" fontId="17" fillId="46" borderId="6" xfId="0" quotePrefix="1" applyFont="1" applyFill="1" applyBorder="1" applyAlignment="1">
      <alignment vertical="center" wrapText="1"/>
    </xf>
    <xf numFmtId="0" fontId="17" fillId="46" borderId="7" xfId="0" quotePrefix="1" applyFont="1" applyFill="1" applyBorder="1" applyAlignment="1">
      <alignment vertical="center" wrapText="1"/>
    </xf>
    <xf numFmtId="0" fontId="118" fillId="31" borderId="11" xfId="0" applyFont="1" applyFill="1" applyBorder="1" applyAlignment="1">
      <alignment horizontal="center" vertical="center"/>
    </xf>
    <xf numFmtId="0" fontId="118" fillId="31" borderId="12" xfId="0" applyFont="1" applyFill="1" applyBorder="1" applyAlignment="1">
      <alignment horizontal="center" vertical="center"/>
    </xf>
    <xf numFmtId="0" fontId="34" fillId="31" borderId="5" xfId="0" quotePrefix="1" applyFont="1" applyFill="1" applyBorder="1" applyAlignment="1">
      <alignment vertical="center" wrapText="1"/>
    </xf>
    <xf numFmtId="0" fontId="34" fillId="31" borderId="6" xfId="0" quotePrefix="1" applyFont="1" applyFill="1" applyBorder="1" applyAlignment="1">
      <alignment vertical="center" wrapText="1"/>
    </xf>
    <xf numFmtId="0" fontId="34" fillId="31" borderId="7" xfId="0" quotePrefix="1" applyFont="1" applyFill="1" applyBorder="1" applyAlignment="1">
      <alignment vertical="center" wrapText="1"/>
    </xf>
    <xf numFmtId="0" fontId="34" fillId="31" borderId="8" xfId="0" quotePrefix="1" applyFont="1" applyFill="1" applyBorder="1" applyAlignment="1">
      <alignment vertical="center" wrapText="1"/>
    </xf>
    <xf numFmtId="0" fontId="34" fillId="31" borderId="9" xfId="0" quotePrefix="1" applyFont="1" applyFill="1" applyBorder="1" applyAlignment="1">
      <alignment vertical="center" wrapText="1"/>
    </xf>
    <xf numFmtId="0" fontId="34" fillId="31" borderId="10" xfId="0" quotePrefix="1" applyFont="1" applyFill="1" applyBorder="1" applyAlignment="1">
      <alignment vertical="center" wrapText="1"/>
    </xf>
    <xf numFmtId="0" fontId="113" fillId="42" borderId="11" xfId="0" applyFont="1" applyFill="1" applyBorder="1" applyAlignment="1">
      <alignment horizontal="center" vertical="center"/>
    </xf>
    <xf numFmtId="0" fontId="113" fillId="42" borderId="17" xfId="0" applyFont="1" applyFill="1" applyBorder="1" applyAlignment="1">
      <alignment horizontal="center" vertical="center"/>
    </xf>
    <xf numFmtId="0" fontId="113" fillId="42" borderId="12" xfId="0" applyFont="1" applyFill="1" applyBorder="1" applyAlignment="1">
      <alignment horizontal="center" vertical="center"/>
    </xf>
    <xf numFmtId="0" fontId="75" fillId="11" borderId="0" xfId="0" quotePrefix="1" applyFont="1" applyFill="1" applyBorder="1" applyAlignment="1">
      <alignment horizontal="left" vertical="center" wrapText="1"/>
    </xf>
    <xf numFmtId="0" fontId="75" fillId="11" borderId="15" xfId="0" quotePrefix="1" applyFont="1" applyFill="1" applyBorder="1" applyAlignment="1">
      <alignment horizontal="left" vertical="center" wrapText="1"/>
    </xf>
    <xf numFmtId="0" fontId="75" fillId="11" borderId="9" xfId="0" quotePrefix="1" applyFont="1" applyFill="1" applyBorder="1" applyAlignment="1">
      <alignment horizontal="left" vertical="center" wrapText="1"/>
    </xf>
    <xf numFmtId="0" fontId="75" fillId="11" borderId="10" xfId="0" quotePrefix="1" applyFont="1" applyFill="1" applyBorder="1" applyAlignment="1">
      <alignment horizontal="left" vertical="center" wrapText="1"/>
    </xf>
    <xf numFmtId="0" fontId="115" fillId="11" borderId="6" xfId="0" quotePrefix="1" applyFont="1" applyFill="1" applyBorder="1" applyAlignment="1">
      <alignment vertical="center" wrapText="1"/>
    </xf>
    <xf numFmtId="0" fontId="115" fillId="11" borderId="7" xfId="0" quotePrefix="1" applyFont="1" applyFill="1" applyBorder="1" applyAlignment="1">
      <alignment vertical="center" wrapText="1"/>
    </xf>
    <xf numFmtId="0" fontId="113" fillId="11" borderId="11" xfId="0" applyFont="1" applyFill="1" applyBorder="1" applyAlignment="1">
      <alignment horizontal="center" vertical="center"/>
    </xf>
    <xf numFmtId="0" fontId="113" fillId="11" borderId="17" xfId="0" applyFont="1" applyFill="1" applyBorder="1" applyAlignment="1">
      <alignment horizontal="center" vertical="center"/>
    </xf>
    <xf numFmtId="0" fontId="113" fillId="11" borderId="12" xfId="0" applyFont="1" applyFill="1" applyBorder="1" applyAlignment="1">
      <alignment horizontal="center" vertical="center"/>
    </xf>
    <xf numFmtId="0" fontId="113" fillId="10" borderId="11" xfId="0" applyFont="1" applyFill="1" applyBorder="1" applyAlignment="1">
      <alignment horizontal="center" vertical="center"/>
    </xf>
    <xf numFmtId="0" fontId="113" fillId="10" borderId="17" xfId="0" applyFont="1" applyFill="1" applyBorder="1" applyAlignment="1">
      <alignment horizontal="center" vertical="center"/>
    </xf>
    <xf numFmtId="0" fontId="113" fillId="10" borderId="12" xfId="0" applyFont="1" applyFill="1" applyBorder="1" applyAlignment="1">
      <alignment horizontal="center" vertical="center"/>
    </xf>
    <xf numFmtId="0" fontId="115" fillId="10" borderId="6" xfId="0" quotePrefix="1" applyFont="1" applyFill="1" applyBorder="1" applyAlignment="1">
      <alignment vertical="center" wrapText="1"/>
    </xf>
    <xf numFmtId="0" fontId="115" fillId="10" borderId="7" xfId="0" quotePrefix="1" applyFont="1" applyFill="1" applyBorder="1" applyAlignment="1">
      <alignment vertical="center" wrapText="1"/>
    </xf>
    <xf numFmtId="0" fontId="113" fillId="40" borderId="11" xfId="0" quotePrefix="1" applyFont="1" applyFill="1" applyBorder="1" applyAlignment="1">
      <alignment horizontal="center" vertical="center"/>
    </xf>
    <xf numFmtId="0" fontId="113" fillId="40" borderId="12" xfId="0" quotePrefix="1" applyFont="1" applyFill="1" applyBorder="1" applyAlignment="1">
      <alignment horizontal="center" vertical="center"/>
    </xf>
    <xf numFmtId="0" fontId="93" fillId="40" borderId="5" xfId="0" quotePrefix="1" applyFont="1" applyFill="1" applyBorder="1" applyAlignment="1">
      <alignment horizontal="left" vertical="center" wrapText="1"/>
    </xf>
    <xf numFmtId="0" fontId="93" fillId="40" borderId="6" xfId="0" quotePrefix="1" applyFont="1" applyFill="1" applyBorder="1" applyAlignment="1">
      <alignment horizontal="left" vertical="center" wrapText="1"/>
    </xf>
    <xf numFmtId="0" fontId="93" fillId="40" borderId="7" xfId="0" quotePrefix="1" applyFont="1" applyFill="1" applyBorder="1" applyAlignment="1">
      <alignment horizontal="left" vertical="center" wrapText="1"/>
    </xf>
    <xf numFmtId="0" fontId="93" fillId="40" borderId="8" xfId="0" quotePrefix="1" applyFont="1" applyFill="1" applyBorder="1" applyAlignment="1">
      <alignment horizontal="left" vertical="center" wrapText="1"/>
    </xf>
    <xf numFmtId="0" fontId="93" fillId="40" borderId="9" xfId="0" quotePrefix="1" applyFont="1" applyFill="1" applyBorder="1" applyAlignment="1">
      <alignment horizontal="left" vertical="center" wrapText="1"/>
    </xf>
    <xf numFmtId="0" fontId="93" fillId="40" borderId="10" xfId="0" quotePrefix="1" applyFont="1" applyFill="1" applyBorder="1" applyAlignment="1">
      <alignment horizontal="left" vertical="center" wrapText="1"/>
    </xf>
    <xf numFmtId="0" fontId="93" fillId="7" borderId="5" xfId="0" quotePrefix="1" applyFont="1" applyFill="1" applyBorder="1" applyAlignment="1">
      <alignment horizontal="left" vertical="center" wrapText="1"/>
    </xf>
    <xf numFmtId="0" fontId="93" fillId="7" borderId="6" xfId="0" quotePrefix="1" applyFont="1" applyFill="1" applyBorder="1" applyAlignment="1">
      <alignment horizontal="left" vertical="center" wrapText="1"/>
    </xf>
    <xf numFmtId="0" fontId="93" fillId="7" borderId="7" xfId="0" quotePrefix="1" applyFont="1" applyFill="1" applyBorder="1" applyAlignment="1">
      <alignment horizontal="left" vertical="center" wrapText="1"/>
    </xf>
    <xf numFmtId="0" fontId="93" fillId="7" borderId="13" xfId="0" quotePrefix="1" applyFont="1" applyFill="1" applyBorder="1" applyAlignment="1">
      <alignment horizontal="left" vertical="center" wrapText="1"/>
    </xf>
    <xf numFmtId="0" fontId="93" fillId="7" borderId="0" xfId="0" quotePrefix="1" applyFont="1" applyFill="1" applyBorder="1" applyAlignment="1">
      <alignment horizontal="left" vertical="center" wrapText="1"/>
    </xf>
    <xf numFmtId="0" fontId="93" fillId="7" borderId="15" xfId="0" quotePrefix="1" applyFont="1" applyFill="1" applyBorder="1" applyAlignment="1">
      <alignment horizontal="left" vertical="center" wrapText="1"/>
    </xf>
    <xf numFmtId="0" fontId="93" fillId="7" borderId="8" xfId="0" quotePrefix="1" applyFont="1" applyFill="1" applyBorder="1" applyAlignment="1">
      <alignment horizontal="left" vertical="center" wrapText="1"/>
    </xf>
    <xf numFmtId="0" fontId="93" fillId="7" borderId="9" xfId="0" quotePrefix="1" applyFont="1" applyFill="1" applyBorder="1" applyAlignment="1">
      <alignment horizontal="left" vertical="center" wrapText="1"/>
    </xf>
    <xf numFmtId="0" fontId="93" fillId="7" borderId="10" xfId="0" quotePrefix="1" applyFont="1" applyFill="1" applyBorder="1" applyAlignment="1">
      <alignment horizontal="left" vertical="center" wrapText="1"/>
    </xf>
    <xf numFmtId="0" fontId="75" fillId="21" borderId="5" xfId="0" quotePrefix="1" applyFont="1" applyFill="1" applyBorder="1" applyAlignment="1">
      <alignment vertical="center" wrapText="1"/>
    </xf>
    <xf numFmtId="0" fontId="75" fillId="21" borderId="6" xfId="0" quotePrefix="1" applyFont="1" applyFill="1" applyBorder="1" applyAlignment="1">
      <alignment vertical="center" wrapText="1"/>
    </xf>
    <xf numFmtId="0" fontId="75" fillId="21" borderId="7" xfId="0" quotePrefix="1" applyFont="1" applyFill="1" applyBorder="1" applyAlignment="1">
      <alignment vertical="center" wrapText="1"/>
    </xf>
    <xf numFmtId="0" fontId="75" fillId="21" borderId="13" xfId="0" quotePrefix="1" applyFont="1" applyFill="1" applyBorder="1" applyAlignment="1">
      <alignment vertical="center" wrapText="1"/>
    </xf>
    <xf numFmtId="0" fontId="75" fillId="21" borderId="0" xfId="0" quotePrefix="1" applyFont="1" applyFill="1" applyBorder="1" applyAlignment="1">
      <alignment vertical="center" wrapText="1"/>
    </xf>
    <xf numFmtId="0" fontId="75" fillId="21" borderId="15" xfId="0" quotePrefix="1" applyFont="1" applyFill="1" applyBorder="1" applyAlignment="1">
      <alignment vertical="center" wrapText="1"/>
    </xf>
    <xf numFmtId="0" fontId="75" fillId="21" borderId="8" xfId="0" quotePrefix="1" applyFont="1" applyFill="1" applyBorder="1" applyAlignment="1">
      <alignment vertical="center" wrapText="1"/>
    </xf>
    <xf numFmtId="0" fontId="75" fillId="21" borderId="9" xfId="0" quotePrefix="1" applyFont="1" applyFill="1" applyBorder="1" applyAlignment="1">
      <alignment vertical="center" wrapText="1"/>
    </xf>
    <xf numFmtId="0" fontId="75" fillId="21" borderId="10" xfId="0" quotePrefix="1" applyFont="1" applyFill="1" applyBorder="1" applyAlignment="1">
      <alignment vertical="center" wrapText="1"/>
    </xf>
    <xf numFmtId="0" fontId="113" fillId="13" borderId="11" xfId="0" quotePrefix="1" applyFont="1" applyFill="1" applyBorder="1" applyAlignment="1">
      <alignment horizontal="center" vertical="center"/>
    </xf>
    <xf numFmtId="0" fontId="113" fillId="13" borderId="12" xfId="0" quotePrefix="1" applyFont="1" applyFill="1" applyBorder="1" applyAlignment="1">
      <alignment horizontal="center" vertical="center"/>
    </xf>
    <xf numFmtId="0" fontId="93" fillId="10" borderId="13" xfId="0" quotePrefix="1" applyFont="1" applyFill="1" applyBorder="1" applyAlignment="1">
      <alignment horizontal="left" vertical="center" wrapText="1"/>
    </xf>
    <xf numFmtId="0" fontId="93" fillId="10" borderId="0" xfId="0" quotePrefix="1" applyFont="1" applyFill="1" applyBorder="1" applyAlignment="1">
      <alignment horizontal="left" vertical="center" wrapText="1"/>
    </xf>
    <xf numFmtId="0" fontId="93" fillId="10" borderId="15" xfId="0" quotePrefix="1" applyFont="1" applyFill="1" applyBorder="1" applyAlignment="1">
      <alignment horizontal="left" vertical="center" wrapText="1"/>
    </xf>
    <xf numFmtId="0" fontId="93" fillId="10" borderId="8" xfId="0" quotePrefix="1" applyFont="1" applyFill="1" applyBorder="1" applyAlignment="1">
      <alignment horizontal="left" vertical="center" wrapText="1"/>
    </xf>
    <xf numFmtId="0" fontId="93" fillId="10" borderId="9" xfId="0" quotePrefix="1" applyFont="1" applyFill="1" applyBorder="1" applyAlignment="1">
      <alignment horizontal="left" vertical="center" wrapText="1"/>
    </xf>
    <xf numFmtId="0" fontId="93" fillId="10" borderId="10" xfId="0" quotePrefix="1" applyFont="1" applyFill="1" applyBorder="1" applyAlignment="1">
      <alignment horizontal="left" vertical="center" wrapText="1"/>
    </xf>
    <xf numFmtId="0" fontId="117" fillId="13" borderId="5" xfId="0" quotePrefix="1" applyFont="1" applyFill="1" applyBorder="1" applyAlignment="1">
      <alignment horizontal="left" vertical="center" wrapText="1"/>
    </xf>
    <xf numFmtId="0" fontId="117" fillId="13" borderId="6" xfId="0" quotePrefix="1" applyFont="1" applyFill="1" applyBorder="1" applyAlignment="1">
      <alignment horizontal="left" vertical="center" wrapText="1"/>
    </xf>
    <xf numFmtId="0" fontId="117" fillId="13" borderId="7" xfId="0" quotePrefix="1" applyFont="1" applyFill="1" applyBorder="1" applyAlignment="1">
      <alignment horizontal="left" vertical="center" wrapText="1"/>
    </xf>
    <xf numFmtId="0" fontId="117" fillId="13" borderId="8" xfId="0" quotePrefix="1" applyFont="1" applyFill="1" applyBorder="1" applyAlignment="1">
      <alignment horizontal="left" vertical="center" wrapText="1"/>
    </xf>
    <xf numFmtId="0" fontId="117" fillId="13" borderId="9" xfId="0" quotePrefix="1" applyFont="1" applyFill="1" applyBorder="1" applyAlignment="1">
      <alignment horizontal="left" vertical="center" wrapText="1"/>
    </xf>
    <xf numFmtId="0" fontId="117" fillId="13" borderId="10" xfId="0" quotePrefix="1" applyFont="1" applyFill="1" applyBorder="1" applyAlignment="1">
      <alignment horizontal="left" vertical="center" wrapText="1"/>
    </xf>
    <xf numFmtId="14" fontId="146" fillId="0" borderId="2" xfId="0" applyNumberFormat="1" applyFont="1" applyBorder="1" applyAlignment="1">
      <alignment horizontal="left" vertical="center" shrinkToFit="1"/>
    </xf>
    <xf numFmtId="14" fontId="146" fillId="0" borderId="4" xfId="0" applyNumberFormat="1" applyFont="1" applyBorder="1" applyAlignment="1">
      <alignment horizontal="left" vertical="center" shrinkToFit="1"/>
    </xf>
    <xf numFmtId="0" fontId="79" fillId="5" borderId="0" xfId="1" applyFont="1" applyFill="1" applyBorder="1" applyAlignment="1">
      <alignment horizontal="center" vertical="center" textRotation="90"/>
    </xf>
    <xf numFmtId="0" fontId="7" fillId="4" borderId="3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172" fontId="252" fillId="48" borderId="2" xfId="0" applyNumberFormat="1" applyFont="1" applyFill="1" applyBorder="1" applyAlignment="1">
      <alignment horizontal="left" vertical="center" shrinkToFit="1"/>
    </xf>
    <xf numFmtId="172" fontId="252" fillId="48" borderId="4" xfId="0" applyNumberFormat="1" applyFont="1" applyFill="1" applyBorder="1" applyAlignment="1">
      <alignment horizontal="left" vertical="center" shrinkToFit="1"/>
    </xf>
    <xf numFmtId="0" fontId="241" fillId="2" borderId="11" xfId="0" applyFont="1" applyFill="1" applyBorder="1" applyAlignment="1">
      <alignment horizontal="center" vertical="center" wrapText="1"/>
    </xf>
    <xf numFmtId="0" fontId="241" fillId="2" borderId="17" xfId="0" applyFont="1" applyFill="1" applyBorder="1" applyAlignment="1">
      <alignment horizontal="center" vertical="center" wrapText="1"/>
    </xf>
    <xf numFmtId="0" fontId="241" fillId="2" borderId="12" xfId="0" applyFont="1" applyFill="1" applyBorder="1" applyAlignment="1">
      <alignment horizontal="center" vertical="center" wrapText="1"/>
    </xf>
    <xf numFmtId="0" fontId="239" fillId="2" borderId="11" xfId="0" applyFont="1" applyFill="1" applyBorder="1" applyAlignment="1">
      <alignment horizontal="center" vertical="center" wrapText="1"/>
    </xf>
    <xf numFmtId="0" fontId="239" fillId="2" borderId="17" xfId="0" applyFont="1" applyFill="1" applyBorder="1" applyAlignment="1">
      <alignment horizontal="center" vertical="center" wrapText="1"/>
    </xf>
    <xf numFmtId="0" fontId="239" fillId="2" borderId="12" xfId="0" applyFont="1" applyFill="1" applyBorder="1" applyAlignment="1">
      <alignment horizontal="center" vertical="center" wrapText="1"/>
    </xf>
    <xf numFmtId="0" fontId="239" fillId="2" borderId="5" xfId="0" applyFont="1" applyFill="1" applyBorder="1" applyAlignment="1">
      <alignment vertical="center" shrinkToFit="1"/>
    </xf>
    <xf numFmtId="0" fontId="239" fillId="2" borderId="6" xfId="0" applyFont="1" applyFill="1" applyBorder="1" applyAlignment="1">
      <alignment vertical="center" shrinkToFit="1"/>
    </xf>
    <xf numFmtId="0" fontId="239" fillId="2" borderId="7" xfId="0" applyFont="1" applyFill="1" applyBorder="1" applyAlignment="1">
      <alignment vertical="center" shrinkToFit="1"/>
    </xf>
    <xf numFmtId="0" fontId="239" fillId="2" borderId="13" xfId="0" applyFont="1" applyFill="1" applyBorder="1" applyAlignment="1">
      <alignment vertical="center" shrinkToFit="1"/>
    </xf>
    <xf numFmtId="0" fontId="239" fillId="2" borderId="0" xfId="0" applyFont="1" applyFill="1" applyBorder="1" applyAlignment="1">
      <alignment vertical="center" shrinkToFit="1"/>
    </xf>
    <xf numFmtId="0" fontId="239" fillId="2" borderId="15" xfId="0" applyFont="1" applyFill="1" applyBorder="1" applyAlignment="1">
      <alignment vertical="center" shrinkToFit="1"/>
    </xf>
    <xf numFmtId="0" fontId="237" fillId="2" borderId="11" xfId="0" applyFont="1" applyFill="1" applyBorder="1" applyAlignment="1">
      <alignment horizontal="center" vertical="center" wrapText="1"/>
    </xf>
    <xf numFmtId="0" fontId="237" fillId="2" borderId="17" xfId="0" applyFont="1" applyFill="1" applyBorder="1" applyAlignment="1">
      <alignment horizontal="center" vertical="center" wrapText="1"/>
    </xf>
    <xf numFmtId="0" fontId="237" fillId="2" borderId="12" xfId="0" applyFont="1" applyFill="1" applyBorder="1" applyAlignment="1">
      <alignment horizontal="center" vertical="center" wrapText="1"/>
    </xf>
    <xf numFmtId="0" fontId="237" fillId="17" borderId="11" xfId="0" applyFont="1" applyFill="1" applyBorder="1" applyAlignment="1">
      <alignment horizontal="center" vertical="center" wrapText="1"/>
    </xf>
    <xf numFmtId="0" fontId="237" fillId="17" borderId="17" xfId="0" applyFont="1" applyFill="1" applyBorder="1" applyAlignment="1">
      <alignment horizontal="center" vertical="center" wrapText="1"/>
    </xf>
    <xf numFmtId="0" fontId="237" fillId="17" borderId="12" xfId="0" applyFont="1" applyFill="1" applyBorder="1" applyAlignment="1">
      <alignment horizontal="center" vertical="center" wrapText="1"/>
    </xf>
    <xf numFmtId="0" fontId="241" fillId="49" borderId="11" xfId="0" applyFont="1" applyFill="1" applyBorder="1" applyAlignment="1">
      <alignment horizontal="center" vertical="center" wrapText="1"/>
    </xf>
    <xf numFmtId="0" fontId="241" fillId="49" borderId="17" xfId="0" applyFont="1" applyFill="1" applyBorder="1" applyAlignment="1">
      <alignment horizontal="center" vertical="center" wrapText="1"/>
    </xf>
    <xf numFmtId="0" fontId="241" fillId="49" borderId="12" xfId="0" applyFont="1" applyFill="1" applyBorder="1" applyAlignment="1">
      <alignment horizontal="center" vertical="center" wrapText="1"/>
    </xf>
    <xf numFmtId="0" fontId="239" fillId="49" borderId="5" xfId="0" applyFont="1" applyFill="1" applyBorder="1" applyAlignment="1">
      <alignment vertical="center" wrapText="1"/>
    </xf>
    <xf numFmtId="0" fontId="239" fillId="49" borderId="6" xfId="0" applyFont="1" applyFill="1" applyBorder="1" applyAlignment="1">
      <alignment vertical="center" wrapText="1"/>
    </xf>
    <xf numFmtId="0" fontId="239" fillId="49" borderId="7" xfId="0" applyFont="1" applyFill="1" applyBorder="1" applyAlignment="1">
      <alignment vertical="center" wrapText="1"/>
    </xf>
    <xf numFmtId="0" fontId="239" fillId="49" borderId="13" xfId="0" applyFont="1" applyFill="1" applyBorder="1" applyAlignment="1">
      <alignment vertical="center" wrapText="1"/>
    </xf>
    <xf numFmtId="0" fontId="239" fillId="49" borderId="0" xfId="0" applyFont="1" applyFill="1" applyBorder="1" applyAlignment="1">
      <alignment vertical="center" wrapText="1"/>
    </xf>
    <xf numFmtId="0" fontId="239" fillId="49" borderId="15" xfId="0" applyFont="1" applyFill="1" applyBorder="1" applyAlignment="1">
      <alignment vertical="center" wrapText="1"/>
    </xf>
    <xf numFmtId="0" fontId="239" fillId="49" borderId="8" xfId="0" applyFont="1" applyFill="1" applyBorder="1" applyAlignment="1">
      <alignment vertical="center" wrapText="1"/>
    </xf>
    <xf numFmtId="0" fontId="239" fillId="49" borderId="9" xfId="0" applyFont="1" applyFill="1" applyBorder="1" applyAlignment="1">
      <alignment vertical="center" wrapText="1"/>
    </xf>
    <xf numFmtId="0" fontId="239" fillId="49" borderId="10" xfId="0" applyFont="1" applyFill="1" applyBorder="1" applyAlignment="1">
      <alignment vertical="center" wrapText="1"/>
    </xf>
    <xf numFmtId="0" fontId="239" fillId="2" borderId="5" xfId="0" applyFont="1" applyFill="1" applyBorder="1" applyAlignment="1">
      <alignment vertical="center" wrapText="1"/>
    </xf>
    <xf numFmtId="0" fontId="239" fillId="2" borderId="6" xfId="0" applyFont="1" applyFill="1" applyBorder="1" applyAlignment="1">
      <alignment vertical="center" wrapText="1"/>
    </xf>
    <xf numFmtId="0" fontId="239" fillId="2" borderId="7" xfId="0" applyFont="1" applyFill="1" applyBorder="1" applyAlignment="1">
      <alignment vertical="center" wrapText="1"/>
    </xf>
    <xf numFmtId="0" fontId="239" fillId="2" borderId="13" xfId="0" applyFont="1" applyFill="1" applyBorder="1" applyAlignment="1">
      <alignment vertical="center" wrapText="1"/>
    </xf>
    <xf numFmtId="0" fontId="239" fillId="2" borderId="0" xfId="0" applyFont="1" applyFill="1" applyBorder="1" applyAlignment="1">
      <alignment vertical="center" wrapText="1"/>
    </xf>
    <xf numFmtId="0" fontId="239" fillId="2" borderId="15" xfId="0" applyFont="1" applyFill="1" applyBorder="1" applyAlignment="1">
      <alignment vertical="center" wrapText="1"/>
    </xf>
    <xf numFmtId="0" fontId="239" fillId="2" borderId="8" xfId="0" applyFont="1" applyFill="1" applyBorder="1" applyAlignment="1">
      <alignment vertical="center" wrapText="1"/>
    </xf>
    <xf numFmtId="0" fontId="239" fillId="2" borderId="9" xfId="0" applyFont="1" applyFill="1" applyBorder="1" applyAlignment="1">
      <alignment vertical="center" wrapText="1"/>
    </xf>
    <xf numFmtId="0" fontId="239" fillId="2" borderId="10" xfId="0" applyFont="1" applyFill="1" applyBorder="1" applyAlignment="1">
      <alignment vertical="center" wrapText="1"/>
    </xf>
    <xf numFmtId="0" fontId="112" fillId="5" borderId="15" xfId="1" applyFont="1" applyFill="1" applyBorder="1" applyAlignment="1">
      <alignment horizontal="right" vertical="center" textRotation="90"/>
    </xf>
    <xf numFmtId="0" fontId="111" fillId="51" borderId="0" xfId="0" applyFont="1" applyFill="1" applyAlignment="1">
      <alignment horizontal="center" vertical="center"/>
    </xf>
    <xf numFmtId="0" fontId="239" fillId="2" borderId="8" xfId="0" applyFont="1" applyFill="1" applyBorder="1" applyAlignment="1">
      <alignment vertical="center" shrinkToFit="1"/>
    </xf>
    <xf numFmtId="0" fontId="239" fillId="2" borderId="9" xfId="0" applyFont="1" applyFill="1" applyBorder="1" applyAlignment="1">
      <alignment vertical="center" shrinkToFit="1"/>
    </xf>
    <xf numFmtId="0" fontId="239" fillId="2" borderId="10" xfId="0" applyFont="1" applyFill="1" applyBorder="1" applyAlignment="1">
      <alignment vertical="center" shrinkToFit="1"/>
    </xf>
    <xf numFmtId="0" fontId="237" fillId="2" borderId="5" xfId="0" applyFont="1" applyFill="1" applyBorder="1" applyAlignment="1">
      <alignment vertical="center" shrinkToFit="1"/>
    </xf>
    <xf numFmtId="0" fontId="237" fillId="2" borderId="6" xfId="0" applyFont="1" applyFill="1" applyBorder="1" applyAlignment="1">
      <alignment vertical="center" shrinkToFit="1"/>
    </xf>
    <xf numFmtId="0" fontId="237" fillId="2" borderId="7" xfId="0" applyFont="1" applyFill="1" applyBorder="1" applyAlignment="1">
      <alignment vertical="center" shrinkToFit="1"/>
    </xf>
    <xf numFmtId="0" fontId="237" fillId="2" borderId="13" xfId="0" applyFont="1" applyFill="1" applyBorder="1" applyAlignment="1">
      <alignment vertical="center" shrinkToFit="1"/>
    </xf>
    <xf numFmtId="0" fontId="237" fillId="2" borderId="0" xfId="0" applyFont="1" applyFill="1" applyBorder="1" applyAlignment="1">
      <alignment vertical="center" shrinkToFit="1"/>
    </xf>
    <xf numFmtId="0" fontId="237" fillId="2" borderId="15" xfId="0" applyFont="1" applyFill="1" applyBorder="1" applyAlignment="1">
      <alignment vertical="center" shrinkToFit="1"/>
    </xf>
    <xf numFmtId="0" fontId="237" fillId="2" borderId="13" xfId="0" applyFont="1" applyFill="1" applyBorder="1" applyAlignment="1">
      <alignment vertical="center" wrapText="1"/>
    </xf>
    <xf numFmtId="0" fontId="237" fillId="2" borderId="0" xfId="0" applyFont="1" applyFill="1" applyBorder="1" applyAlignment="1">
      <alignment vertical="center" wrapText="1"/>
    </xf>
    <xf numFmtId="0" fontId="237" fillId="2" borderId="15" xfId="0" applyFont="1" applyFill="1" applyBorder="1" applyAlignment="1">
      <alignment vertical="center" wrapText="1"/>
    </xf>
    <xf numFmtId="0" fontId="237" fillId="2" borderId="8" xfId="0" applyFont="1" applyFill="1" applyBorder="1" applyAlignment="1">
      <alignment vertical="center" shrinkToFit="1"/>
    </xf>
    <xf numFmtId="0" fontId="237" fillId="2" borderId="9" xfId="0" applyFont="1" applyFill="1" applyBorder="1" applyAlignment="1">
      <alignment vertical="center" shrinkToFit="1"/>
    </xf>
    <xf numFmtId="0" fontId="237" fillId="2" borderId="10" xfId="0" applyFont="1" applyFill="1" applyBorder="1" applyAlignment="1">
      <alignment vertical="center" shrinkToFit="1"/>
    </xf>
    <xf numFmtId="0" fontId="239" fillId="17" borderId="5" xfId="0" applyFont="1" applyFill="1" applyBorder="1" applyAlignment="1">
      <alignment vertical="center" shrinkToFit="1"/>
    </xf>
    <xf numFmtId="0" fontId="239" fillId="17" borderId="6" xfId="0" applyFont="1" applyFill="1" applyBorder="1" applyAlignment="1">
      <alignment vertical="center" shrinkToFit="1"/>
    </xf>
    <xf numFmtId="0" fontId="239" fillId="17" borderId="7" xfId="0" applyFont="1" applyFill="1" applyBorder="1" applyAlignment="1">
      <alignment vertical="center" shrinkToFit="1"/>
    </xf>
    <xf numFmtId="0" fontId="239" fillId="17" borderId="13" xfId="0" applyFont="1" applyFill="1" applyBorder="1" applyAlignment="1">
      <alignment vertical="center" shrinkToFit="1"/>
    </xf>
    <xf numFmtId="0" fontId="239" fillId="17" borderId="0" xfId="0" applyFont="1" applyFill="1" applyBorder="1" applyAlignment="1">
      <alignment vertical="center" shrinkToFit="1"/>
    </xf>
    <xf numFmtId="0" fontId="239" fillId="17" borderId="15" xfId="0" applyFont="1" applyFill="1" applyBorder="1" applyAlignment="1">
      <alignment vertical="center" shrinkToFit="1"/>
    </xf>
    <xf numFmtId="0" fontId="239" fillId="17" borderId="8" xfId="0" applyFont="1" applyFill="1" applyBorder="1" applyAlignment="1">
      <alignment vertical="center" shrinkToFit="1"/>
    </xf>
    <xf numFmtId="0" fontId="239" fillId="17" borderId="9" xfId="0" applyFont="1" applyFill="1" applyBorder="1" applyAlignment="1">
      <alignment vertical="center" shrinkToFit="1"/>
    </xf>
    <xf numFmtId="0" fontId="239" fillId="17" borderId="10" xfId="0" applyFont="1" applyFill="1" applyBorder="1" applyAlignment="1">
      <alignment vertical="center" shrinkToFit="1"/>
    </xf>
    <xf numFmtId="0" fontId="239" fillId="17" borderId="13" xfId="0" applyFont="1" applyFill="1" applyBorder="1" applyAlignment="1">
      <alignment vertical="center" wrapText="1"/>
    </xf>
    <xf numFmtId="0" fontId="239" fillId="17" borderId="0" xfId="0" applyFont="1" applyFill="1" applyBorder="1" applyAlignment="1">
      <alignment vertical="center" wrapText="1"/>
    </xf>
    <xf numFmtId="0" fontId="239" fillId="17" borderId="15" xfId="0" applyFont="1" applyFill="1" applyBorder="1" applyAlignment="1">
      <alignment vertical="center" wrapText="1"/>
    </xf>
    <xf numFmtId="0" fontId="70" fillId="36" borderId="0" xfId="0" applyFont="1" applyFill="1" applyAlignment="1">
      <alignment horizontal="center" vertical="center" shrinkToFit="1"/>
    </xf>
    <xf numFmtId="0" fontId="184" fillId="5" borderId="15" xfId="1" applyFont="1" applyFill="1" applyBorder="1" applyAlignment="1">
      <alignment horizontal="center" vertical="center" textRotation="90" shrinkToFit="1"/>
    </xf>
    <xf numFmtId="0" fontId="186" fillId="10" borderId="0" xfId="0" applyFont="1" applyFill="1" applyAlignment="1">
      <alignment wrapText="1"/>
    </xf>
    <xf numFmtId="0" fontId="79" fillId="5" borderId="15" xfId="1" applyFont="1" applyFill="1" applyBorder="1" applyAlignment="1">
      <alignment horizontal="center" vertical="center" textRotation="90" shrinkToFit="1"/>
    </xf>
    <xf numFmtId="0" fontId="7" fillId="27" borderId="34" xfId="0" applyFont="1" applyFill="1" applyBorder="1" applyAlignment="1">
      <alignment horizontal="center" vertical="center" shrinkToFit="1"/>
    </xf>
    <xf numFmtId="0" fontId="7" fillId="27" borderId="35" xfId="0" applyFont="1" applyFill="1" applyBorder="1" applyAlignment="1">
      <alignment horizontal="center" vertical="center" shrinkToFit="1"/>
    </xf>
    <xf numFmtId="0" fontId="7" fillId="27" borderId="37" xfId="0" applyFont="1" applyFill="1" applyBorder="1" applyAlignment="1">
      <alignment horizontal="center" vertical="center" shrinkToFit="1"/>
    </xf>
    <xf numFmtId="0" fontId="7" fillId="27" borderId="38" xfId="0" applyFont="1" applyFill="1" applyBorder="1" applyAlignment="1">
      <alignment horizontal="center" vertical="center" shrinkToFit="1"/>
    </xf>
    <xf numFmtId="0" fontId="7" fillId="16" borderId="34" xfId="0" applyFont="1" applyFill="1" applyBorder="1" applyAlignment="1">
      <alignment horizontal="center" vertical="center" shrinkToFit="1"/>
    </xf>
    <xf numFmtId="0" fontId="7" fillId="16" borderId="35" xfId="0" applyFont="1" applyFill="1" applyBorder="1" applyAlignment="1">
      <alignment horizontal="center" vertical="center" shrinkToFit="1"/>
    </xf>
    <xf numFmtId="0" fontId="7" fillId="16" borderId="37" xfId="0" applyFont="1" applyFill="1" applyBorder="1" applyAlignment="1">
      <alignment horizontal="center" vertical="center" shrinkToFit="1"/>
    </xf>
    <xf numFmtId="0" fontId="7" fillId="16" borderId="38" xfId="0" applyFont="1" applyFill="1" applyBorder="1" applyAlignment="1">
      <alignment horizontal="center" vertical="center" shrinkToFit="1"/>
    </xf>
    <xf numFmtId="49" fontId="188" fillId="45" borderId="5" xfId="0" applyNumberFormat="1" applyFont="1" applyFill="1" applyBorder="1" applyAlignment="1">
      <alignment horizontal="center" vertical="center" shrinkToFit="1"/>
    </xf>
    <xf numFmtId="49" fontId="188" fillId="45" borderId="7" xfId="0" applyNumberFormat="1" applyFont="1" applyFill="1" applyBorder="1" applyAlignment="1">
      <alignment horizontal="center" vertical="center" shrinkToFit="1"/>
    </xf>
    <xf numFmtId="49" fontId="188" fillId="45" borderId="8" xfId="0" applyNumberFormat="1" applyFont="1" applyFill="1" applyBorder="1" applyAlignment="1">
      <alignment horizontal="center" vertical="center" shrinkToFit="1"/>
    </xf>
    <xf numFmtId="49" fontId="188" fillId="45" borderId="10" xfId="0" applyNumberFormat="1" applyFont="1" applyFill="1" applyBorder="1" applyAlignment="1">
      <alignment horizontal="center" vertical="center" shrinkToFit="1"/>
    </xf>
    <xf numFmtId="0" fontId="185" fillId="8" borderId="0" xfId="1" applyFont="1" applyFill="1" applyAlignment="1">
      <alignment horizontal="center" shrinkToFit="1"/>
    </xf>
    <xf numFmtId="0" fontId="112" fillId="5" borderId="15" xfId="1" applyFont="1" applyFill="1" applyBorder="1" applyAlignment="1">
      <alignment horizontal="center" vertical="center" textRotation="90"/>
    </xf>
    <xf numFmtId="0" fontId="79" fillId="5" borderId="0" xfId="1" applyFont="1" applyFill="1" applyAlignment="1">
      <alignment horizontal="center" vertical="center" textRotation="90"/>
    </xf>
    <xf numFmtId="0" fontId="75" fillId="8" borderId="11" xfId="0" applyFont="1" applyFill="1" applyBorder="1" applyAlignment="1">
      <alignment horizontal="center" vertical="center" wrapText="1"/>
    </xf>
    <xf numFmtId="0" fontId="75" fillId="8" borderId="17" xfId="0" applyFont="1" applyFill="1" applyBorder="1" applyAlignment="1">
      <alignment horizontal="center" vertical="center" wrapText="1"/>
    </xf>
    <xf numFmtId="0" fontId="75" fillId="8" borderId="12" xfId="0" applyFont="1" applyFill="1" applyBorder="1" applyAlignment="1">
      <alignment horizontal="center" vertical="center" wrapText="1"/>
    </xf>
    <xf numFmtId="0" fontId="191" fillId="10" borderId="5" xfId="0" quotePrefix="1" applyFont="1" applyFill="1" applyBorder="1" applyAlignment="1">
      <alignment horizontal="left" vertical="center" wrapText="1" indent="1"/>
    </xf>
    <xf numFmtId="0" fontId="191" fillId="10" borderId="7" xfId="0" quotePrefix="1" applyFont="1" applyFill="1" applyBorder="1" applyAlignment="1">
      <alignment horizontal="left" vertical="center" wrapText="1" indent="1"/>
    </xf>
    <xf numFmtId="0" fontId="191" fillId="10" borderId="13" xfId="0" quotePrefix="1" applyFont="1" applyFill="1" applyBorder="1" applyAlignment="1">
      <alignment horizontal="left" vertical="center" wrapText="1" indent="1"/>
    </xf>
    <xf numFmtId="0" fontId="191" fillId="10" borderId="15" xfId="0" quotePrefix="1" applyFont="1" applyFill="1" applyBorder="1" applyAlignment="1">
      <alignment horizontal="left" vertical="center" wrapText="1" indent="1"/>
    </xf>
    <xf numFmtId="0" fontId="191" fillId="10" borderId="8" xfId="0" quotePrefix="1" applyFont="1" applyFill="1" applyBorder="1" applyAlignment="1">
      <alignment horizontal="left" vertical="center" wrapText="1" indent="1"/>
    </xf>
    <xf numFmtId="0" fontId="191" fillId="10" borderId="10" xfId="0" quotePrefix="1" applyFont="1" applyFill="1" applyBorder="1" applyAlignment="1">
      <alignment horizontal="left" vertical="center" wrapText="1" indent="1"/>
    </xf>
    <xf numFmtId="0" fontId="146" fillId="8" borderId="11" xfId="0" applyFont="1" applyFill="1" applyBorder="1" applyAlignment="1">
      <alignment horizontal="center" vertical="center" wrapText="1"/>
    </xf>
    <xf numFmtId="0" fontId="146" fillId="8" borderId="12" xfId="0" applyFont="1" applyFill="1" applyBorder="1" applyAlignment="1">
      <alignment horizontal="center" vertical="center" wrapText="1"/>
    </xf>
    <xf numFmtId="0" fontId="20" fillId="10" borderId="5" xfId="0" quotePrefix="1" applyFont="1" applyFill="1" applyBorder="1" applyAlignment="1">
      <alignment horizontal="left" vertical="center" wrapText="1" indent="1"/>
    </xf>
    <xf numFmtId="0" fontId="20" fillId="10" borderId="6" xfId="0" quotePrefix="1" applyFont="1" applyFill="1" applyBorder="1" applyAlignment="1">
      <alignment horizontal="left" vertical="center" wrapText="1" indent="1"/>
    </xf>
    <xf numFmtId="0" fontId="20" fillId="10" borderId="7" xfId="0" quotePrefix="1" applyFont="1" applyFill="1" applyBorder="1" applyAlignment="1">
      <alignment horizontal="left" vertical="center" wrapText="1" indent="1"/>
    </xf>
    <xf numFmtId="0" fontId="20" fillId="10" borderId="13" xfId="0" quotePrefix="1" applyFont="1" applyFill="1" applyBorder="1" applyAlignment="1">
      <alignment horizontal="left" vertical="center" wrapText="1" indent="1"/>
    </xf>
    <xf numFmtId="0" fontId="20" fillId="10" borderId="0" xfId="0" quotePrefix="1" applyFont="1" applyFill="1" applyBorder="1" applyAlignment="1">
      <alignment horizontal="left" vertical="center" wrapText="1" indent="1"/>
    </xf>
    <xf numFmtId="0" fontId="20" fillId="10" borderId="15" xfId="0" quotePrefix="1" applyFont="1" applyFill="1" applyBorder="1" applyAlignment="1">
      <alignment horizontal="left" vertical="center" wrapText="1" indent="1"/>
    </xf>
    <xf numFmtId="0" fontId="20" fillId="10" borderId="8" xfId="0" quotePrefix="1" applyFont="1" applyFill="1" applyBorder="1" applyAlignment="1">
      <alignment horizontal="left" vertical="center" wrapText="1" indent="1"/>
    </xf>
    <xf numFmtId="0" fontId="20" fillId="10" borderId="9" xfId="0" quotePrefix="1" applyFont="1" applyFill="1" applyBorder="1" applyAlignment="1">
      <alignment horizontal="left" vertical="center" wrapText="1" indent="1"/>
    </xf>
    <xf numFmtId="0" fontId="20" fillId="10" borderId="10" xfId="0" quotePrefix="1" applyFont="1" applyFill="1" applyBorder="1" applyAlignment="1">
      <alignment horizontal="left" vertical="center" wrapText="1" indent="1"/>
    </xf>
    <xf numFmtId="0" fontId="107" fillId="4" borderId="0" xfId="0" applyFont="1" applyFill="1" applyAlignment="1">
      <alignment horizontal="center" vertical="center"/>
    </xf>
    <xf numFmtId="0" fontId="191" fillId="15" borderId="5" xfId="0" quotePrefix="1" applyFont="1" applyFill="1" applyBorder="1" applyAlignment="1">
      <alignment horizontal="left" vertical="center" wrapText="1" indent="1"/>
    </xf>
    <xf numFmtId="0" fontId="191" fillId="15" borderId="7" xfId="0" quotePrefix="1" applyFont="1" applyFill="1" applyBorder="1" applyAlignment="1">
      <alignment horizontal="left" vertical="center" wrapText="1" indent="1"/>
    </xf>
    <xf numFmtId="0" fontId="191" fillId="15" borderId="13" xfId="0" quotePrefix="1" applyFont="1" applyFill="1" applyBorder="1" applyAlignment="1">
      <alignment horizontal="left" vertical="center" wrapText="1" indent="1"/>
    </xf>
    <xf numFmtId="0" fontId="191" fillId="15" borderId="15" xfId="0" quotePrefix="1" applyFont="1" applyFill="1" applyBorder="1" applyAlignment="1">
      <alignment horizontal="left" vertical="center" wrapText="1" indent="1"/>
    </xf>
    <xf numFmtId="0" fontId="191" fillId="15" borderId="8" xfId="0" quotePrefix="1" applyFont="1" applyFill="1" applyBorder="1" applyAlignment="1">
      <alignment horizontal="left" vertical="center" wrapText="1" indent="1"/>
    </xf>
    <xf numFmtId="0" fontId="191" fillId="15" borderId="10" xfId="0" quotePrefix="1" applyFont="1" applyFill="1" applyBorder="1" applyAlignment="1">
      <alignment horizontal="left" vertical="center" wrapText="1" indent="1"/>
    </xf>
    <xf numFmtId="0" fontId="20" fillId="15" borderId="5" xfId="0" quotePrefix="1" applyFont="1" applyFill="1" applyBorder="1" applyAlignment="1">
      <alignment horizontal="left" vertical="center" wrapText="1" indent="1"/>
    </xf>
    <xf numFmtId="0" fontId="20" fillId="15" borderId="6" xfId="0" quotePrefix="1" applyFont="1" applyFill="1" applyBorder="1" applyAlignment="1">
      <alignment horizontal="left" vertical="center" wrapText="1" indent="1"/>
    </xf>
    <xf numFmtId="0" fontId="20" fillId="15" borderId="7" xfId="0" quotePrefix="1" applyFont="1" applyFill="1" applyBorder="1" applyAlignment="1">
      <alignment horizontal="left" vertical="center" wrapText="1" indent="1"/>
    </xf>
    <xf numFmtId="0" fontId="20" fillId="15" borderId="13" xfId="0" quotePrefix="1" applyFont="1" applyFill="1" applyBorder="1" applyAlignment="1">
      <alignment horizontal="left" vertical="center" wrapText="1" indent="1"/>
    </xf>
    <xf numFmtId="0" fontId="20" fillId="15" borderId="0" xfId="0" quotePrefix="1" applyFont="1" applyFill="1" applyBorder="1" applyAlignment="1">
      <alignment horizontal="left" vertical="center" wrapText="1" indent="1"/>
    </xf>
    <xf numFmtId="0" fontId="20" fillId="15" borderId="15" xfId="0" quotePrefix="1" applyFont="1" applyFill="1" applyBorder="1" applyAlignment="1">
      <alignment horizontal="left" vertical="center" wrapText="1" indent="1"/>
    </xf>
    <xf numFmtId="0" fontId="20" fillId="15" borderId="8" xfId="0" quotePrefix="1" applyFont="1" applyFill="1" applyBorder="1" applyAlignment="1">
      <alignment horizontal="left" vertical="center" wrapText="1" indent="1"/>
    </xf>
    <xf numFmtId="0" fontId="20" fillId="15" borderId="9" xfId="0" quotePrefix="1" applyFont="1" applyFill="1" applyBorder="1" applyAlignment="1">
      <alignment horizontal="left" vertical="center" wrapText="1" indent="1"/>
    </xf>
    <xf numFmtId="0" fontId="20" fillId="15" borderId="10" xfId="0" quotePrefix="1" applyFont="1" applyFill="1" applyBorder="1" applyAlignment="1">
      <alignment horizontal="left" vertical="center" wrapText="1" indent="1"/>
    </xf>
    <xf numFmtId="0" fontId="198" fillId="10" borderId="5" xfId="0" quotePrefix="1" applyFont="1" applyFill="1" applyBorder="1" applyAlignment="1">
      <alignment horizontal="left" vertical="center" wrapText="1" indent="1"/>
    </xf>
    <xf numFmtId="0" fontId="198" fillId="10" borderId="6" xfId="0" quotePrefix="1" applyFont="1" applyFill="1" applyBorder="1" applyAlignment="1">
      <alignment horizontal="left" vertical="center" wrapText="1" indent="1"/>
    </xf>
    <xf numFmtId="0" fontId="198" fillId="10" borderId="7" xfId="0" quotePrefix="1" applyFont="1" applyFill="1" applyBorder="1" applyAlignment="1">
      <alignment horizontal="left" vertical="center" wrapText="1" indent="1"/>
    </xf>
    <xf numFmtId="0" fontId="198" fillId="10" borderId="13" xfId="0" quotePrefix="1" applyFont="1" applyFill="1" applyBorder="1" applyAlignment="1">
      <alignment horizontal="left" vertical="center" wrapText="1" indent="1"/>
    </xf>
    <xf numFmtId="0" fontId="198" fillId="10" borderId="0" xfId="0" quotePrefix="1" applyFont="1" applyFill="1" applyBorder="1" applyAlignment="1">
      <alignment horizontal="left" vertical="center" wrapText="1" indent="1"/>
    </xf>
    <xf numFmtId="0" fontId="198" fillId="10" borderId="15" xfId="0" quotePrefix="1" applyFont="1" applyFill="1" applyBorder="1" applyAlignment="1">
      <alignment horizontal="left" vertical="center" wrapText="1" indent="1"/>
    </xf>
    <xf numFmtId="0" fontId="198" fillId="10" borderId="8" xfId="0" quotePrefix="1" applyFont="1" applyFill="1" applyBorder="1" applyAlignment="1">
      <alignment horizontal="left" vertical="center" wrapText="1" indent="1"/>
    </xf>
    <xf numFmtId="0" fontId="198" fillId="10" borderId="9" xfId="0" quotePrefix="1" applyFont="1" applyFill="1" applyBorder="1" applyAlignment="1">
      <alignment horizontal="left" vertical="center" wrapText="1" indent="1"/>
    </xf>
    <xf numFmtId="0" fontId="198" fillId="10" borderId="10" xfId="0" quotePrefix="1" applyFont="1" applyFill="1" applyBorder="1" applyAlignment="1">
      <alignment horizontal="left" vertical="center" wrapText="1" indent="1"/>
    </xf>
    <xf numFmtId="0" fontId="19" fillId="15" borderId="5" xfId="0" quotePrefix="1" applyFont="1" applyFill="1" applyBorder="1" applyAlignment="1">
      <alignment horizontal="left" vertical="center" wrapText="1" indent="1"/>
    </xf>
    <xf numFmtId="0" fontId="19" fillId="15" borderId="6" xfId="0" quotePrefix="1" applyFont="1" applyFill="1" applyBorder="1" applyAlignment="1">
      <alignment horizontal="left" vertical="center" wrapText="1" indent="1"/>
    </xf>
    <xf numFmtId="0" fontId="19" fillId="15" borderId="7" xfId="0" quotePrefix="1" applyFont="1" applyFill="1" applyBorder="1" applyAlignment="1">
      <alignment horizontal="left" vertical="center" wrapText="1" indent="1"/>
    </xf>
    <xf numFmtId="0" fontId="19" fillId="15" borderId="13" xfId="0" quotePrefix="1" applyFont="1" applyFill="1" applyBorder="1" applyAlignment="1">
      <alignment horizontal="left" vertical="center" wrapText="1" indent="1"/>
    </xf>
    <xf numFmtId="0" fontId="19" fillId="15" borderId="0" xfId="0" quotePrefix="1" applyFont="1" applyFill="1" applyBorder="1" applyAlignment="1">
      <alignment horizontal="left" vertical="center" wrapText="1" indent="1"/>
    </xf>
    <xf numFmtId="0" fontId="19" fillId="15" borderId="15" xfId="0" quotePrefix="1" applyFont="1" applyFill="1" applyBorder="1" applyAlignment="1">
      <alignment horizontal="left" vertical="center" wrapText="1" indent="1"/>
    </xf>
    <xf numFmtId="0" fontId="19" fillId="15" borderId="8" xfId="0" quotePrefix="1" applyFont="1" applyFill="1" applyBorder="1" applyAlignment="1">
      <alignment horizontal="left" vertical="center" wrapText="1" indent="1"/>
    </xf>
    <xf numFmtId="0" fontId="19" fillId="15" borderId="9" xfId="0" quotePrefix="1" applyFont="1" applyFill="1" applyBorder="1" applyAlignment="1">
      <alignment horizontal="left" vertical="center" wrapText="1" indent="1"/>
    </xf>
    <xf numFmtId="0" fontId="19" fillId="15" borderId="10" xfId="0" quotePrefix="1" applyFont="1" applyFill="1" applyBorder="1" applyAlignment="1">
      <alignment horizontal="left" vertical="center" wrapText="1" indent="1"/>
    </xf>
    <xf numFmtId="0" fontId="198" fillId="15" borderId="5" xfId="0" quotePrefix="1" applyFont="1" applyFill="1" applyBorder="1" applyAlignment="1">
      <alignment horizontal="left" vertical="center" wrapText="1" indent="1"/>
    </xf>
    <xf numFmtId="0" fontId="198" fillId="15" borderId="6" xfId="0" quotePrefix="1" applyFont="1" applyFill="1" applyBorder="1" applyAlignment="1">
      <alignment horizontal="left" vertical="center" wrapText="1" indent="1"/>
    </xf>
    <xf numFmtId="0" fontId="198" fillId="15" borderId="7" xfId="0" quotePrefix="1" applyFont="1" applyFill="1" applyBorder="1" applyAlignment="1">
      <alignment horizontal="left" vertical="center" wrapText="1" indent="1"/>
    </xf>
    <xf numFmtId="0" fontId="198" fillId="15" borderId="13" xfId="0" quotePrefix="1" applyFont="1" applyFill="1" applyBorder="1" applyAlignment="1">
      <alignment horizontal="left" vertical="center" wrapText="1" indent="1"/>
    </xf>
    <xf numFmtId="0" fontId="198" fillId="15" borderId="0" xfId="0" quotePrefix="1" applyFont="1" applyFill="1" applyBorder="1" applyAlignment="1">
      <alignment horizontal="left" vertical="center" wrapText="1" indent="1"/>
    </xf>
    <xf numFmtId="0" fontId="198" fillId="15" borderId="15" xfId="0" quotePrefix="1" applyFont="1" applyFill="1" applyBorder="1" applyAlignment="1">
      <alignment horizontal="left" vertical="center" wrapText="1" indent="1"/>
    </xf>
    <xf numFmtId="0" fontId="198" fillId="15" borderId="8" xfId="0" quotePrefix="1" applyFont="1" applyFill="1" applyBorder="1" applyAlignment="1">
      <alignment horizontal="left" vertical="center" wrapText="1" indent="1"/>
    </xf>
    <xf numFmtId="0" fontId="198" fillId="15" borderId="9" xfId="0" quotePrefix="1" applyFont="1" applyFill="1" applyBorder="1" applyAlignment="1">
      <alignment horizontal="left" vertical="center" wrapText="1" indent="1"/>
    </xf>
    <xf numFmtId="0" fontId="198" fillId="15" borderId="10" xfId="0" quotePrefix="1" applyFont="1" applyFill="1" applyBorder="1" applyAlignment="1">
      <alignment horizontal="left" vertical="center" wrapText="1" indent="1"/>
    </xf>
    <xf numFmtId="0" fontId="163" fillId="10" borderId="5" xfId="0" quotePrefix="1" applyFont="1" applyFill="1" applyBorder="1" applyAlignment="1">
      <alignment horizontal="left" vertical="center" wrapText="1" indent="1"/>
    </xf>
    <xf numFmtId="0" fontId="163" fillId="10" borderId="7" xfId="0" quotePrefix="1" applyFont="1" applyFill="1" applyBorder="1" applyAlignment="1">
      <alignment horizontal="left" vertical="center" wrapText="1" indent="1"/>
    </xf>
    <xf numFmtId="0" fontId="163" fillId="10" borderId="13" xfId="0" quotePrefix="1" applyFont="1" applyFill="1" applyBorder="1" applyAlignment="1">
      <alignment horizontal="left" vertical="center" wrapText="1" indent="1"/>
    </xf>
    <xf numFmtId="0" fontId="163" fillId="10" borderId="15" xfId="0" quotePrefix="1" applyFont="1" applyFill="1" applyBorder="1" applyAlignment="1">
      <alignment horizontal="left" vertical="center" wrapText="1" indent="1"/>
    </xf>
    <xf numFmtId="0" fontId="163" fillId="10" borderId="8" xfId="0" quotePrefix="1" applyFont="1" applyFill="1" applyBorder="1" applyAlignment="1">
      <alignment horizontal="left" vertical="center" wrapText="1" indent="1"/>
    </xf>
    <xf numFmtId="0" fontId="163" fillId="10" borderId="10" xfId="0" quotePrefix="1" applyFont="1" applyFill="1" applyBorder="1" applyAlignment="1">
      <alignment horizontal="left" vertical="center" wrapText="1" indent="1"/>
    </xf>
    <xf numFmtId="0" fontId="197" fillId="15" borderId="5" xfId="0" quotePrefix="1" applyFont="1" applyFill="1" applyBorder="1" applyAlignment="1">
      <alignment horizontal="left" vertical="center" wrapText="1" indent="1"/>
    </xf>
    <xf numFmtId="0" fontId="197" fillId="15" borderId="7" xfId="0" quotePrefix="1" applyFont="1" applyFill="1" applyBorder="1" applyAlignment="1">
      <alignment horizontal="left" vertical="center" wrapText="1" indent="1"/>
    </xf>
    <xf numFmtId="0" fontId="197" fillId="15" borderId="13" xfId="0" quotePrefix="1" applyFont="1" applyFill="1" applyBorder="1" applyAlignment="1">
      <alignment horizontal="left" vertical="center" wrapText="1" indent="1"/>
    </xf>
    <xf numFmtId="0" fontId="197" fillId="15" borderId="15" xfId="0" quotePrefix="1" applyFont="1" applyFill="1" applyBorder="1" applyAlignment="1">
      <alignment horizontal="left" vertical="center" wrapText="1" indent="1"/>
    </xf>
    <xf numFmtId="0" fontId="197" fillId="15" borderId="8" xfId="0" quotePrefix="1" applyFont="1" applyFill="1" applyBorder="1" applyAlignment="1">
      <alignment horizontal="left" vertical="center" wrapText="1" indent="1"/>
    </xf>
    <xf numFmtId="0" fontId="197" fillId="15" borderId="10" xfId="0" quotePrefix="1" applyFont="1" applyFill="1" applyBorder="1" applyAlignment="1">
      <alignment horizontal="left" vertical="center" wrapText="1" indent="1"/>
    </xf>
    <xf numFmtId="0" fontId="121" fillId="8" borderId="5" xfId="0" applyFont="1" applyFill="1" applyBorder="1" applyAlignment="1">
      <alignment vertical="center" shrinkToFit="1"/>
    </xf>
    <xf numFmtId="0" fontId="121" fillId="8" borderId="6" xfId="0" applyFont="1" applyFill="1" applyBorder="1" applyAlignment="1">
      <alignment vertical="center" shrinkToFit="1"/>
    </xf>
    <xf numFmtId="0" fontId="121" fillId="8" borderId="7" xfId="0" applyFont="1" applyFill="1" applyBorder="1" applyAlignment="1">
      <alignment vertical="center" shrinkToFit="1"/>
    </xf>
    <xf numFmtId="0" fontId="121" fillId="8" borderId="8" xfId="0" applyFont="1" applyFill="1" applyBorder="1" applyAlignment="1">
      <alignment vertical="center" shrinkToFit="1"/>
    </xf>
    <xf numFmtId="0" fontId="121" fillId="8" borderId="9" xfId="0" applyFont="1" applyFill="1" applyBorder="1" applyAlignment="1">
      <alignment vertical="center" shrinkToFit="1"/>
    </xf>
    <xf numFmtId="0" fontId="121" fillId="8" borderId="10" xfId="0" applyFont="1" applyFill="1" applyBorder="1" applyAlignment="1">
      <alignment vertical="center" shrinkToFit="1"/>
    </xf>
    <xf numFmtId="0" fontId="121" fillId="15" borderId="5" xfId="0" applyFont="1" applyFill="1" applyBorder="1" applyAlignment="1">
      <alignment vertical="center" shrinkToFit="1"/>
    </xf>
    <xf numFmtId="0" fontId="121" fillId="15" borderId="6" xfId="0" applyFont="1" applyFill="1" applyBorder="1" applyAlignment="1">
      <alignment vertical="center" shrinkToFit="1"/>
    </xf>
    <xf numFmtId="0" fontId="121" fillId="15" borderId="7" xfId="0" applyFont="1" applyFill="1" applyBorder="1" applyAlignment="1">
      <alignment vertical="center" shrinkToFit="1"/>
    </xf>
    <xf numFmtId="0" fontId="121" fillId="15" borderId="8" xfId="0" applyFont="1" applyFill="1" applyBorder="1" applyAlignment="1">
      <alignment vertical="center" shrinkToFit="1"/>
    </xf>
    <xf numFmtId="0" fontId="121" fillId="15" borderId="9" xfId="0" applyFont="1" applyFill="1" applyBorder="1" applyAlignment="1">
      <alignment vertical="center" shrinkToFit="1"/>
    </xf>
    <xf numFmtId="0" fontId="121" fillId="15" borderId="10" xfId="0" applyFont="1" applyFill="1" applyBorder="1" applyAlignment="1">
      <alignment vertical="center" shrinkToFit="1"/>
    </xf>
    <xf numFmtId="0" fontId="164" fillId="8" borderId="5" xfId="0" applyNumberFormat="1" applyFont="1" applyFill="1" applyBorder="1" applyAlignment="1">
      <alignment horizontal="left" vertical="center" wrapText="1" indent="1"/>
    </xf>
    <xf numFmtId="0" fontId="164" fillId="8" borderId="6" xfId="0" applyNumberFormat="1" applyFont="1" applyFill="1" applyBorder="1" applyAlignment="1">
      <alignment horizontal="left" vertical="center" wrapText="1" indent="1"/>
    </xf>
    <xf numFmtId="0" fontId="164" fillId="8" borderId="7" xfId="0" applyNumberFormat="1" applyFont="1" applyFill="1" applyBorder="1" applyAlignment="1">
      <alignment horizontal="left" vertical="center" wrapText="1" indent="1"/>
    </xf>
    <xf numFmtId="0" fontId="164" fillId="8" borderId="8" xfId="0" applyNumberFormat="1" applyFont="1" applyFill="1" applyBorder="1" applyAlignment="1">
      <alignment horizontal="left" vertical="center" wrapText="1" indent="1"/>
    </xf>
    <xf numFmtId="0" fontId="164" fillId="8" borderId="9" xfId="0" applyNumberFormat="1" applyFont="1" applyFill="1" applyBorder="1" applyAlignment="1">
      <alignment horizontal="left" vertical="center" wrapText="1" indent="1"/>
    </xf>
    <xf numFmtId="0" fontId="164" fillId="8" borderId="10" xfId="0" applyNumberFormat="1" applyFont="1" applyFill="1" applyBorder="1" applyAlignment="1">
      <alignment horizontal="left" vertical="center" wrapText="1" indent="1"/>
    </xf>
    <xf numFmtId="0" fontId="164" fillId="15" borderId="5" xfId="0" applyNumberFormat="1" applyFont="1" applyFill="1" applyBorder="1" applyAlignment="1">
      <alignment horizontal="left" vertical="center" wrapText="1" indent="1"/>
    </xf>
    <xf numFmtId="0" fontId="164" fillId="15" borderId="6" xfId="0" applyNumberFormat="1" applyFont="1" applyFill="1" applyBorder="1" applyAlignment="1">
      <alignment horizontal="left" vertical="center" wrapText="1" indent="1"/>
    </xf>
    <xf numFmtId="0" fontId="164" fillId="15" borderId="7" xfId="0" applyNumberFormat="1" applyFont="1" applyFill="1" applyBorder="1" applyAlignment="1">
      <alignment horizontal="left" vertical="center" wrapText="1" indent="1"/>
    </xf>
    <xf numFmtId="0" fontId="164" fillId="15" borderId="8" xfId="0" applyNumberFormat="1" applyFont="1" applyFill="1" applyBorder="1" applyAlignment="1">
      <alignment horizontal="left" vertical="center" wrapText="1" indent="1"/>
    </xf>
    <xf numFmtId="0" fontId="164" fillId="15" borderId="9" xfId="0" applyNumberFormat="1" applyFont="1" applyFill="1" applyBorder="1" applyAlignment="1">
      <alignment horizontal="left" vertical="center" wrapText="1" indent="1"/>
    </xf>
    <xf numFmtId="0" fontId="164" fillId="15" borderId="10" xfId="0" applyNumberFormat="1" applyFont="1" applyFill="1" applyBorder="1" applyAlignment="1">
      <alignment horizontal="left" vertical="center" wrapText="1" indent="1"/>
    </xf>
    <xf numFmtId="0" fontId="145" fillId="8" borderId="11" xfId="0" applyNumberFormat="1" applyFont="1" applyFill="1" applyBorder="1" applyAlignment="1">
      <alignment horizontal="center" vertical="center"/>
    </xf>
    <xf numFmtId="0" fontId="145" fillId="8" borderId="12" xfId="0" applyNumberFormat="1" applyFont="1" applyFill="1" applyBorder="1" applyAlignment="1">
      <alignment horizontal="center" vertical="center"/>
    </xf>
    <xf numFmtId="0" fontId="143" fillId="16" borderId="11" xfId="0" applyNumberFormat="1" applyFont="1" applyFill="1" applyBorder="1" applyAlignment="1">
      <alignment horizontal="center" vertical="center"/>
    </xf>
    <xf numFmtId="0" fontId="143" fillId="16" borderId="12" xfId="0" applyNumberFormat="1" applyFont="1" applyFill="1" applyBorder="1" applyAlignment="1">
      <alignment horizontal="center" vertical="center"/>
    </xf>
    <xf numFmtId="0" fontId="145" fillId="15" borderId="11" xfId="0" applyNumberFormat="1" applyFont="1" applyFill="1" applyBorder="1" applyAlignment="1">
      <alignment horizontal="center" vertical="center"/>
    </xf>
    <xf numFmtId="0" fontId="145" fillId="15" borderId="12" xfId="0" applyNumberFormat="1" applyFont="1" applyFill="1" applyBorder="1" applyAlignment="1">
      <alignment horizontal="center" vertical="center"/>
    </xf>
    <xf numFmtId="0" fontId="254" fillId="48" borderId="11" xfId="0" applyNumberFormat="1" applyFont="1" applyFill="1" applyBorder="1" applyAlignment="1">
      <alignment horizontal="center" vertical="center"/>
    </xf>
    <xf numFmtId="0" fontId="254" fillId="48" borderId="12" xfId="0" applyNumberFormat="1" applyFont="1" applyFill="1" applyBorder="1" applyAlignment="1">
      <alignment horizontal="center" vertical="center"/>
    </xf>
    <xf numFmtId="0" fontId="169" fillId="15" borderId="5" xfId="0" applyNumberFormat="1" applyFont="1" applyFill="1" applyBorder="1" applyAlignment="1">
      <alignment horizontal="left" vertical="center" wrapText="1" indent="1"/>
    </xf>
    <xf numFmtId="0" fontId="169" fillId="15" borderId="6" xfId="0" applyNumberFormat="1" applyFont="1" applyFill="1" applyBorder="1" applyAlignment="1">
      <alignment horizontal="left" vertical="center" wrapText="1" indent="1"/>
    </xf>
    <xf numFmtId="0" fontId="169" fillId="15" borderId="7" xfId="0" applyNumberFormat="1" applyFont="1" applyFill="1" applyBorder="1" applyAlignment="1">
      <alignment horizontal="left" vertical="center" wrapText="1" indent="1"/>
    </xf>
    <xf numFmtId="0" fontId="169" fillId="15" borderId="8" xfId="0" applyNumberFormat="1" applyFont="1" applyFill="1" applyBorder="1" applyAlignment="1">
      <alignment horizontal="left" vertical="center" wrapText="1" indent="1"/>
    </xf>
    <xf numFmtId="0" fontId="169" fillId="15" borderId="9" xfId="0" applyNumberFormat="1" applyFont="1" applyFill="1" applyBorder="1" applyAlignment="1">
      <alignment horizontal="left" vertical="center" wrapText="1" indent="1"/>
    </xf>
    <xf numFmtId="0" fontId="169" fillId="15" borderId="10" xfId="0" applyNumberFormat="1" applyFont="1" applyFill="1" applyBorder="1" applyAlignment="1">
      <alignment horizontal="left" vertical="center" wrapText="1" indent="1"/>
    </xf>
    <xf numFmtId="0" fontId="169" fillId="8" borderId="5" xfId="0" applyNumberFormat="1" applyFont="1" applyFill="1" applyBorder="1" applyAlignment="1">
      <alignment horizontal="left" vertical="center" wrapText="1" indent="1"/>
    </xf>
    <xf numFmtId="0" fontId="169" fillId="8" borderId="6" xfId="0" applyNumberFormat="1" applyFont="1" applyFill="1" applyBorder="1" applyAlignment="1">
      <alignment horizontal="left" vertical="center" wrapText="1" indent="1"/>
    </xf>
    <xf numFmtId="0" fontId="169" fillId="8" borderId="7" xfId="0" applyNumberFormat="1" applyFont="1" applyFill="1" applyBorder="1" applyAlignment="1">
      <alignment horizontal="left" vertical="center" wrapText="1" indent="1"/>
    </xf>
    <xf numFmtId="0" fontId="169" fillId="8" borderId="8" xfId="0" applyNumberFormat="1" applyFont="1" applyFill="1" applyBorder="1" applyAlignment="1">
      <alignment horizontal="left" vertical="center" wrapText="1" indent="1"/>
    </xf>
    <xf numFmtId="0" fontId="169" fillId="8" borderId="9" xfId="0" applyNumberFormat="1" applyFont="1" applyFill="1" applyBorder="1" applyAlignment="1">
      <alignment horizontal="left" vertical="center" wrapText="1" indent="1"/>
    </xf>
    <xf numFmtId="0" fontId="169" fillId="8" borderId="10" xfId="0" applyNumberFormat="1" applyFont="1" applyFill="1" applyBorder="1" applyAlignment="1">
      <alignment horizontal="left" vertical="center" wrapText="1" indent="1"/>
    </xf>
    <xf numFmtId="0" fontId="149" fillId="10" borderId="6" xfId="0" applyFont="1" applyFill="1" applyBorder="1" applyAlignment="1">
      <alignment horizontal="left" vertical="center" wrapText="1"/>
    </xf>
    <xf numFmtId="0" fontId="149" fillId="10" borderId="0" xfId="0" applyFont="1" applyFill="1" applyBorder="1" applyAlignment="1">
      <alignment horizontal="left" vertical="center" wrapText="1"/>
    </xf>
    <xf numFmtId="0" fontId="87" fillId="5" borderId="0" xfId="1" applyFont="1" applyFill="1" applyAlignment="1">
      <alignment vertical="center" textRotation="90"/>
    </xf>
    <xf numFmtId="0" fontId="12" fillId="8" borderId="0" xfId="0" applyFont="1" applyFill="1" applyBorder="1" applyAlignment="1">
      <alignment horizontal="left" vertical="center" wrapText="1" indent="1"/>
    </xf>
    <xf numFmtId="0" fontId="63" fillId="8" borderId="0" xfId="0" applyFont="1" applyFill="1" applyAlignment="1">
      <alignment horizontal="center" vertical="center" wrapText="1"/>
    </xf>
    <xf numFmtId="0" fontId="77" fillId="8" borderId="0" xfId="0" applyFont="1" applyFill="1" applyBorder="1" applyAlignment="1">
      <alignment horizontal="left" vertical="center" wrapText="1" indent="1"/>
    </xf>
    <xf numFmtId="0" fontId="148" fillId="41" borderId="11" xfId="1" applyFont="1" applyFill="1" applyBorder="1" applyAlignment="1" applyProtection="1">
      <alignment horizontal="center" vertical="center" wrapText="1"/>
      <protection locked="0"/>
    </xf>
    <xf numFmtId="0" fontId="148" fillId="41" borderId="17" xfId="1" applyFont="1" applyFill="1" applyBorder="1" applyAlignment="1" applyProtection="1">
      <alignment horizontal="center" vertical="center" wrapText="1"/>
      <protection locked="0"/>
    </xf>
    <xf numFmtId="0" fontId="148" fillId="41" borderId="12" xfId="1" applyFont="1" applyFill="1" applyBorder="1" applyAlignment="1" applyProtection="1">
      <alignment horizontal="center" vertical="center" wrapText="1"/>
      <protection locked="0"/>
    </xf>
    <xf numFmtId="0" fontId="13" fillId="10" borderId="11" xfId="0" applyFont="1" applyFill="1" applyBorder="1" applyAlignment="1">
      <alignment horizontal="center" vertical="center" wrapText="1"/>
    </xf>
    <xf numFmtId="0" fontId="13" fillId="10" borderId="12" xfId="0" applyFont="1" applyFill="1" applyBorder="1" applyAlignment="1">
      <alignment horizontal="center" vertical="center" wrapText="1"/>
    </xf>
    <xf numFmtId="0" fontId="75" fillId="15" borderId="5" xfId="0" applyFont="1" applyFill="1" applyBorder="1" applyAlignment="1">
      <alignment vertical="center" wrapText="1"/>
    </xf>
    <xf numFmtId="0" fontId="75" fillId="15" borderId="6" xfId="0" applyFont="1" applyFill="1" applyBorder="1" applyAlignment="1">
      <alignment vertical="center" wrapText="1"/>
    </xf>
    <xf numFmtId="0" fontId="75" fillId="15" borderId="7" xfId="0" applyFont="1" applyFill="1" applyBorder="1" applyAlignment="1">
      <alignment vertical="center" wrapText="1"/>
    </xf>
    <xf numFmtId="0" fontId="75" fillId="15" borderId="8" xfId="0" applyFont="1" applyFill="1" applyBorder="1" applyAlignment="1">
      <alignment vertical="center" wrapText="1"/>
    </xf>
    <xf numFmtId="0" fontId="75" fillId="15" borderId="9" xfId="0" applyFont="1" applyFill="1" applyBorder="1" applyAlignment="1">
      <alignment vertical="center" wrapText="1"/>
    </xf>
    <xf numFmtId="0" fontId="75" fillId="15" borderId="10" xfId="0" applyFont="1" applyFill="1" applyBorder="1" applyAlignment="1">
      <alignment vertical="center" wrapText="1"/>
    </xf>
    <xf numFmtId="0" fontId="146" fillId="11" borderId="11" xfId="0" applyFont="1" applyFill="1" applyBorder="1" applyAlignment="1">
      <alignment horizontal="left" vertical="center" wrapText="1"/>
    </xf>
    <xf numFmtId="0" fontId="146" fillId="11" borderId="12" xfId="0" applyFont="1" applyFill="1" applyBorder="1" applyAlignment="1">
      <alignment horizontal="left" vertical="center" wrapText="1"/>
    </xf>
    <xf numFmtId="0" fontId="68" fillId="2" borderId="5" xfId="0" applyFont="1" applyFill="1" applyBorder="1" applyAlignment="1">
      <alignment horizontal="left" vertical="center" wrapText="1" indent="1"/>
    </xf>
    <xf numFmtId="0" fontId="68" fillId="2" borderId="6" xfId="0" applyFont="1" applyFill="1" applyBorder="1" applyAlignment="1">
      <alignment horizontal="left" vertical="center" wrapText="1" indent="1"/>
    </xf>
    <xf numFmtId="0" fontId="68" fillId="2" borderId="7" xfId="0" applyFont="1" applyFill="1" applyBorder="1" applyAlignment="1">
      <alignment horizontal="left" vertical="center" wrapText="1" indent="1"/>
    </xf>
    <xf numFmtId="0" fontId="68" fillId="2" borderId="13" xfId="0" applyFont="1" applyFill="1" applyBorder="1" applyAlignment="1">
      <alignment horizontal="left" vertical="center" wrapText="1" indent="1"/>
    </xf>
    <xf numFmtId="0" fontId="68" fillId="2" borderId="0" xfId="0" applyFont="1" applyFill="1" applyBorder="1" applyAlignment="1">
      <alignment horizontal="left" vertical="center" wrapText="1" indent="1"/>
    </xf>
    <xf numFmtId="0" fontId="68" fillId="2" borderId="15" xfId="0" applyFont="1" applyFill="1" applyBorder="1" applyAlignment="1">
      <alignment horizontal="left" vertical="center" wrapText="1" indent="1"/>
    </xf>
    <xf numFmtId="0" fontId="68" fillId="2" borderId="8" xfId="0" applyFont="1" applyFill="1" applyBorder="1" applyAlignment="1">
      <alignment horizontal="left" vertical="center" wrapText="1" indent="1"/>
    </xf>
    <xf numFmtId="0" fontId="68" fillId="2" borderId="9" xfId="0" applyFont="1" applyFill="1" applyBorder="1" applyAlignment="1">
      <alignment horizontal="left" vertical="center" wrapText="1" indent="1"/>
    </xf>
    <xf numFmtId="0" fontId="68" fillId="2" borderId="10" xfId="0" applyFont="1" applyFill="1" applyBorder="1" applyAlignment="1">
      <alignment horizontal="left" vertical="center" wrapText="1" indent="1"/>
    </xf>
    <xf numFmtId="0" fontId="149" fillId="10" borderId="11" xfId="0" applyFont="1" applyFill="1" applyBorder="1" applyAlignment="1">
      <alignment horizontal="center" vertical="center" wrapText="1"/>
    </xf>
    <xf numFmtId="0" fontId="63" fillId="0" borderId="2" xfId="0" applyFont="1" applyBorder="1" applyAlignment="1">
      <alignment vertical="center" wrapText="1"/>
    </xf>
    <xf numFmtId="0" fontId="63" fillId="0" borderId="3" xfId="0" applyFont="1" applyBorder="1" applyAlignment="1">
      <alignment vertical="center" wrapText="1"/>
    </xf>
    <xf numFmtId="0" fontId="63" fillId="0" borderId="4" xfId="0" applyFont="1" applyBorder="1" applyAlignment="1">
      <alignment vertical="center" wrapText="1"/>
    </xf>
    <xf numFmtId="0" fontId="63" fillId="2" borderId="2" xfId="0" applyFont="1" applyFill="1" applyBorder="1" applyAlignment="1">
      <alignment vertical="center" wrapText="1"/>
    </xf>
    <xf numFmtId="0" fontId="63" fillId="2" borderId="3" xfId="0" applyFont="1" applyFill="1" applyBorder="1" applyAlignment="1">
      <alignment vertical="center" wrapText="1"/>
    </xf>
    <xf numFmtId="0" fontId="63" fillId="2" borderId="4" xfId="0" applyFont="1" applyFill="1" applyBorder="1" applyAlignment="1">
      <alignment vertical="center" wrapText="1"/>
    </xf>
    <xf numFmtId="0" fontId="63" fillId="0" borderId="2" xfId="0" applyFont="1" applyBorder="1" applyAlignment="1">
      <alignment vertical="center" shrinkToFit="1"/>
    </xf>
    <xf numFmtId="0" fontId="63" fillId="0" borderId="3" xfId="0" applyFont="1" applyBorder="1" applyAlignment="1">
      <alignment vertical="center" shrinkToFit="1"/>
    </xf>
    <xf numFmtId="0" fontId="63" fillId="0" borderId="4" xfId="0" applyFont="1" applyBorder="1" applyAlignment="1">
      <alignment vertical="center" shrinkToFit="1"/>
    </xf>
    <xf numFmtId="0" fontId="63" fillId="2" borderId="5" xfId="0" applyFont="1" applyFill="1" applyBorder="1" applyAlignment="1">
      <alignment vertical="center" wrapText="1"/>
    </xf>
    <xf numFmtId="0" fontId="63" fillId="2" borderId="6" xfId="0" applyFont="1" applyFill="1" applyBorder="1" applyAlignment="1">
      <alignment vertical="center" wrapText="1"/>
    </xf>
    <xf numFmtId="0" fontId="63" fillId="2" borderId="7" xfId="0" applyFont="1" applyFill="1" applyBorder="1" applyAlignment="1">
      <alignment vertical="center" wrapText="1"/>
    </xf>
    <xf numFmtId="0" fontId="63" fillId="2" borderId="8" xfId="0" applyFont="1" applyFill="1" applyBorder="1" applyAlignment="1">
      <alignment vertical="center" wrapText="1"/>
    </xf>
    <xf numFmtId="0" fontId="63" fillId="2" borderId="9" xfId="0" applyFont="1" applyFill="1" applyBorder="1" applyAlignment="1">
      <alignment vertical="center" wrapText="1"/>
    </xf>
    <xf numFmtId="0" fontId="63" fillId="2" borderId="10" xfId="0" applyFont="1" applyFill="1" applyBorder="1" applyAlignment="1">
      <alignment vertical="center" wrapText="1"/>
    </xf>
    <xf numFmtId="0" fontId="63" fillId="0" borderId="5" xfId="0" applyFont="1" applyBorder="1" applyAlignment="1">
      <alignment vertical="center" wrapText="1"/>
    </xf>
    <xf numFmtId="0" fontId="63" fillId="0" borderId="6" xfId="0" applyFont="1" applyBorder="1" applyAlignment="1">
      <alignment vertical="center" wrapText="1"/>
    </xf>
    <xf numFmtId="0" fontId="63" fillId="0" borderId="7" xfId="0" applyFont="1" applyBorder="1" applyAlignment="1">
      <alignment vertical="center" wrapText="1"/>
    </xf>
    <xf numFmtId="0" fontId="63" fillId="0" borderId="8" xfId="0" applyFont="1" applyBorder="1" applyAlignment="1">
      <alignment vertical="center" wrapText="1"/>
    </xf>
    <xf numFmtId="0" fontId="63" fillId="0" borderId="9" xfId="0" applyFont="1" applyBorder="1" applyAlignment="1">
      <alignment vertical="center" wrapText="1"/>
    </xf>
    <xf numFmtId="0" fontId="63" fillId="0" borderId="10" xfId="0" applyFont="1" applyBorder="1" applyAlignment="1">
      <alignment vertical="center" wrapText="1"/>
    </xf>
    <xf numFmtId="0" fontId="12" fillId="2" borderId="5" xfId="0" applyFont="1" applyFill="1" applyBorder="1" applyAlignment="1">
      <alignment vertical="center" wrapText="1"/>
    </xf>
    <xf numFmtId="0" fontId="12" fillId="2" borderId="6" xfId="0" applyFont="1" applyFill="1" applyBorder="1" applyAlignment="1">
      <alignment vertical="center" wrapText="1"/>
    </xf>
    <xf numFmtId="0" fontId="12" fillId="2" borderId="7" xfId="0" applyFont="1" applyFill="1" applyBorder="1" applyAlignment="1">
      <alignment vertical="center" wrapText="1"/>
    </xf>
    <xf numFmtId="0" fontId="12" fillId="2" borderId="8" xfId="0" applyFont="1" applyFill="1" applyBorder="1" applyAlignment="1">
      <alignment vertical="center" wrapText="1"/>
    </xf>
    <xf numFmtId="0" fontId="12" fillId="2" borderId="9" xfId="0" applyFont="1" applyFill="1" applyBorder="1" applyAlignment="1">
      <alignment vertical="center" wrapText="1"/>
    </xf>
    <xf numFmtId="0" fontId="12" fillId="2" borderId="10" xfId="0" applyFont="1" applyFill="1" applyBorder="1" applyAlignment="1">
      <alignment vertical="center" wrapText="1"/>
    </xf>
    <xf numFmtId="0" fontId="87" fillId="5" borderId="0" xfId="1" applyFont="1" applyFill="1" applyBorder="1" applyAlignment="1">
      <alignment vertical="center" textRotation="90"/>
    </xf>
    <xf numFmtId="0" fontId="194" fillId="10" borderId="5" xfId="0" applyFont="1" applyFill="1" applyBorder="1" applyAlignment="1">
      <alignment horizontal="left" vertical="center" wrapText="1" indent="1"/>
    </xf>
    <xf numFmtId="0" fontId="194" fillId="10" borderId="6" xfId="0" applyFont="1" applyFill="1" applyBorder="1" applyAlignment="1">
      <alignment horizontal="left" vertical="center" wrapText="1" indent="1"/>
    </xf>
    <xf numFmtId="0" fontId="194" fillId="10" borderId="7" xfId="0" applyFont="1" applyFill="1" applyBorder="1" applyAlignment="1">
      <alignment horizontal="left" vertical="center" wrapText="1" indent="1"/>
    </xf>
    <xf numFmtId="0" fontId="194" fillId="10" borderId="8" xfId="0" applyFont="1" applyFill="1" applyBorder="1" applyAlignment="1">
      <alignment horizontal="left" vertical="center" wrapText="1" indent="1"/>
    </xf>
    <xf numFmtId="0" fontId="194" fillId="10" borderId="9" xfId="0" applyFont="1" applyFill="1" applyBorder="1" applyAlignment="1">
      <alignment horizontal="left" vertical="center" wrapText="1" indent="1"/>
    </xf>
    <xf numFmtId="0" fontId="194" fillId="10" borderId="10" xfId="0" applyFont="1" applyFill="1" applyBorder="1" applyAlignment="1">
      <alignment horizontal="left" vertical="center" wrapText="1" indent="1"/>
    </xf>
    <xf numFmtId="0" fontId="194" fillId="15" borderId="5" xfId="0" applyFont="1" applyFill="1" applyBorder="1" applyAlignment="1">
      <alignment horizontal="left" vertical="center" wrapText="1" indent="1"/>
    </xf>
    <xf numFmtId="0" fontId="194" fillId="15" borderId="6" xfId="0" applyFont="1" applyFill="1" applyBorder="1" applyAlignment="1">
      <alignment horizontal="left" vertical="center" wrapText="1" indent="1"/>
    </xf>
    <xf numFmtId="0" fontId="194" fillId="15" borderId="7" xfId="0" applyFont="1" applyFill="1" applyBorder="1" applyAlignment="1">
      <alignment horizontal="left" vertical="center" wrapText="1" indent="1"/>
    </xf>
    <xf numFmtId="0" fontId="194" fillId="15" borderId="8" xfId="0" applyFont="1" applyFill="1" applyBorder="1" applyAlignment="1">
      <alignment horizontal="left" vertical="center" wrapText="1" indent="1"/>
    </xf>
    <xf numFmtId="0" fontId="194" fillId="15" borderId="9" xfId="0" applyFont="1" applyFill="1" applyBorder="1" applyAlignment="1">
      <alignment horizontal="left" vertical="center" wrapText="1" indent="1"/>
    </xf>
    <xf numFmtId="0" fontId="194" fillId="15" borderId="10" xfId="0" applyFont="1" applyFill="1" applyBorder="1" applyAlignment="1">
      <alignment horizontal="left" vertical="center" wrapText="1" indent="1"/>
    </xf>
    <xf numFmtId="0" fontId="75" fillId="10" borderId="5" xfId="0" applyFont="1" applyFill="1" applyBorder="1" applyAlignment="1">
      <alignment horizontal="left" vertical="center" wrapText="1" indent="1"/>
    </xf>
    <xf numFmtId="0" fontId="75" fillId="10" borderId="6" xfId="0" applyFont="1" applyFill="1" applyBorder="1" applyAlignment="1">
      <alignment horizontal="left" vertical="center" wrapText="1" indent="1"/>
    </xf>
    <xf numFmtId="0" fontId="75" fillId="10" borderId="7" xfId="0" applyFont="1" applyFill="1" applyBorder="1" applyAlignment="1">
      <alignment horizontal="left" vertical="center" wrapText="1" indent="1"/>
    </xf>
    <xf numFmtId="0" fontId="75" fillId="10" borderId="8" xfId="0" applyFont="1" applyFill="1" applyBorder="1" applyAlignment="1">
      <alignment horizontal="left" vertical="center" wrapText="1" indent="1"/>
    </xf>
    <xf numFmtId="0" fontId="75" fillId="10" borderId="9" xfId="0" applyFont="1" applyFill="1" applyBorder="1" applyAlignment="1">
      <alignment horizontal="left" vertical="center" wrapText="1" indent="1"/>
    </xf>
    <xf numFmtId="0" fontId="75" fillId="10" borderId="10" xfId="0" applyFont="1" applyFill="1" applyBorder="1" applyAlignment="1">
      <alignment horizontal="left" vertical="center" wrapText="1" indent="1"/>
    </xf>
    <xf numFmtId="0" fontId="143" fillId="41" borderId="5" xfId="0" applyFont="1" applyFill="1" applyBorder="1" applyAlignment="1">
      <alignment horizontal="center" vertical="center"/>
    </xf>
    <xf numFmtId="0" fontId="143" fillId="41" borderId="6" xfId="0" applyFont="1" applyFill="1" applyBorder="1" applyAlignment="1">
      <alignment horizontal="center" vertical="center"/>
    </xf>
    <xf numFmtId="0" fontId="143" fillId="41" borderId="7" xfId="0" applyFont="1" applyFill="1" applyBorder="1" applyAlignment="1">
      <alignment horizontal="center" vertical="center"/>
    </xf>
    <xf numFmtId="0" fontId="143" fillId="41" borderId="8" xfId="0" applyFont="1" applyFill="1" applyBorder="1" applyAlignment="1">
      <alignment horizontal="center" vertical="center"/>
    </xf>
    <xf numFmtId="0" fontId="143" fillId="41" borderId="9" xfId="0" applyFont="1" applyFill="1" applyBorder="1" applyAlignment="1">
      <alignment horizontal="center" vertical="center"/>
    </xf>
    <xf numFmtId="0" fontId="143" fillId="41" borderId="10" xfId="0" applyFont="1" applyFill="1" applyBorder="1" applyAlignment="1">
      <alignment horizontal="center" vertical="center"/>
    </xf>
    <xf numFmtId="0" fontId="36" fillId="18" borderId="2" xfId="0" applyFont="1" applyFill="1" applyBorder="1" applyAlignment="1">
      <alignment horizontal="center" vertical="center" wrapText="1"/>
    </xf>
    <xf numFmtId="0" fontId="36" fillId="18" borderId="3" xfId="0" applyFont="1" applyFill="1" applyBorder="1" applyAlignment="1">
      <alignment horizontal="center" vertical="center" wrapText="1"/>
    </xf>
    <xf numFmtId="0" fontId="36" fillId="18" borderId="4" xfId="0" applyFont="1" applyFill="1" applyBorder="1" applyAlignment="1">
      <alignment horizontal="center" vertical="center" wrapText="1"/>
    </xf>
    <xf numFmtId="0" fontId="146" fillId="23" borderId="5" xfId="0" applyFont="1" applyFill="1" applyBorder="1" applyAlignment="1">
      <alignment horizontal="left" vertical="center" wrapText="1" indent="1"/>
    </xf>
    <xf numFmtId="0" fontId="146" fillId="23" borderId="6" xfId="0" applyFont="1" applyFill="1" applyBorder="1" applyAlignment="1">
      <alignment horizontal="left" vertical="center" wrapText="1" indent="1"/>
    </xf>
    <xf numFmtId="0" fontId="146" fillId="23" borderId="7" xfId="0" applyFont="1" applyFill="1" applyBorder="1" applyAlignment="1">
      <alignment horizontal="left" vertical="center" wrapText="1" indent="1"/>
    </xf>
    <xf numFmtId="0" fontId="146" fillId="23" borderId="13" xfId="0" applyFont="1" applyFill="1" applyBorder="1" applyAlignment="1">
      <alignment horizontal="left" vertical="center" wrapText="1" indent="1"/>
    </xf>
    <xf numFmtId="0" fontId="146" fillId="23" borderId="0" xfId="0" applyFont="1" applyFill="1" applyBorder="1" applyAlignment="1">
      <alignment horizontal="left" vertical="center" wrapText="1" indent="1"/>
    </xf>
    <xf numFmtId="0" fontId="146" fillId="23" borderId="15" xfId="0" applyFont="1" applyFill="1" applyBorder="1" applyAlignment="1">
      <alignment horizontal="left" vertical="center" wrapText="1" indent="1"/>
    </xf>
    <xf numFmtId="0" fontId="146" fillId="23" borderId="8" xfId="0" applyFont="1" applyFill="1" applyBorder="1" applyAlignment="1">
      <alignment horizontal="left" vertical="center" wrapText="1" indent="1"/>
    </xf>
    <xf numFmtId="0" fontId="146" fillId="23" borderId="9" xfId="0" applyFont="1" applyFill="1" applyBorder="1" applyAlignment="1">
      <alignment horizontal="left" vertical="center" wrapText="1" indent="1"/>
    </xf>
    <xf numFmtId="0" fontId="146" fillId="23" borderId="10" xfId="0" applyFont="1" applyFill="1" applyBorder="1" applyAlignment="1">
      <alignment horizontal="left" vertical="center" wrapText="1" indent="1"/>
    </xf>
    <xf numFmtId="0" fontId="146" fillId="2" borderId="5" xfId="0" applyFont="1" applyFill="1" applyBorder="1" applyAlignment="1">
      <alignment horizontal="left" vertical="center" wrapText="1" indent="1"/>
    </xf>
    <xf numFmtId="0" fontId="146" fillId="2" borderId="6" xfId="0" applyFont="1" applyFill="1" applyBorder="1" applyAlignment="1">
      <alignment horizontal="left" vertical="center" wrapText="1" indent="1"/>
    </xf>
    <xf numFmtId="0" fontId="146" fillId="2" borderId="7" xfId="0" applyFont="1" applyFill="1" applyBorder="1" applyAlignment="1">
      <alignment horizontal="left" vertical="center" wrapText="1" indent="1"/>
    </xf>
    <xf numFmtId="0" fontId="146" fillId="2" borderId="13" xfId="0" applyFont="1" applyFill="1" applyBorder="1" applyAlignment="1">
      <alignment horizontal="left" vertical="center" wrapText="1" indent="1"/>
    </xf>
    <xf numFmtId="0" fontId="146" fillId="2" borderId="0" xfId="0" applyFont="1" applyFill="1" applyBorder="1" applyAlignment="1">
      <alignment horizontal="left" vertical="center" wrapText="1" indent="1"/>
    </xf>
    <xf numFmtId="0" fontId="146" fillId="2" borderId="15" xfId="0" applyFont="1" applyFill="1" applyBorder="1" applyAlignment="1">
      <alignment horizontal="left" vertical="center" wrapText="1" indent="1"/>
    </xf>
    <xf numFmtId="0" fontId="146" fillId="2" borderId="8" xfId="0" applyFont="1" applyFill="1" applyBorder="1" applyAlignment="1">
      <alignment horizontal="left" vertical="center" wrapText="1" indent="1"/>
    </xf>
    <xf numFmtId="0" fontId="146" fillId="2" borderId="9" xfId="0" applyFont="1" applyFill="1" applyBorder="1" applyAlignment="1">
      <alignment horizontal="left" vertical="center" wrapText="1" indent="1"/>
    </xf>
    <xf numFmtId="0" fontId="146" fillId="2" borderId="10" xfId="0" applyFont="1" applyFill="1" applyBorder="1" applyAlignment="1">
      <alignment horizontal="left" vertical="center" wrapText="1" indent="1"/>
    </xf>
    <xf numFmtId="0" fontId="70" fillId="3" borderId="6" xfId="0" applyFont="1" applyFill="1" applyBorder="1" applyAlignment="1">
      <alignment horizontal="center" vertical="center" wrapText="1"/>
    </xf>
    <xf numFmtId="0" fontId="70" fillId="3" borderId="9" xfId="0" applyFont="1" applyFill="1" applyBorder="1" applyAlignment="1">
      <alignment horizontal="center" vertical="center" wrapText="1"/>
    </xf>
    <xf numFmtId="0" fontId="143" fillId="41" borderId="13" xfId="0" applyFont="1" applyFill="1" applyBorder="1" applyAlignment="1">
      <alignment horizontal="center" vertical="center"/>
    </xf>
    <xf numFmtId="0" fontId="143" fillId="41" borderId="0" xfId="0" applyFont="1" applyFill="1" applyBorder="1" applyAlignment="1">
      <alignment horizontal="center" vertical="center"/>
    </xf>
    <xf numFmtId="0" fontId="143" fillId="41" borderId="15" xfId="0" applyFont="1" applyFill="1" applyBorder="1" applyAlignment="1">
      <alignment horizontal="center" vertical="center"/>
    </xf>
    <xf numFmtId="0" fontId="127" fillId="38" borderId="0" xfId="0" quotePrefix="1" applyFont="1" applyFill="1" applyAlignment="1">
      <alignment horizontal="left" vertical="center" wrapText="1" indent="1"/>
    </xf>
    <xf numFmtId="0" fontId="125" fillId="23" borderId="0" xfId="0" quotePrefix="1" applyFont="1" applyFill="1" applyAlignment="1">
      <alignment horizontal="center" vertical="center" wrapText="1"/>
    </xf>
    <xf numFmtId="0" fontId="125" fillId="41" borderId="0" xfId="0" quotePrefix="1" applyFont="1" applyFill="1" applyAlignment="1">
      <alignment horizontal="left" vertical="center" wrapText="1" indent="1"/>
    </xf>
    <xf numFmtId="0" fontId="127" fillId="2" borderId="0" xfId="0" quotePrefix="1" applyFont="1" applyFill="1" applyAlignment="1">
      <alignment horizontal="left" vertical="center" wrapText="1" indent="1"/>
    </xf>
    <xf numFmtId="0" fontId="125" fillId="38" borderId="0" xfId="0" quotePrefix="1" applyFont="1" applyFill="1" applyAlignment="1">
      <alignment horizontal="left" vertical="center" wrapText="1" indent="1"/>
    </xf>
    <xf numFmtId="0" fontId="125" fillId="2" borderId="0" xfId="0" quotePrefix="1" applyFont="1" applyFill="1" applyAlignment="1">
      <alignment horizontal="left" vertical="center" wrapText="1" indent="1"/>
    </xf>
    <xf numFmtId="0" fontId="188" fillId="36" borderId="0" xfId="0" applyFont="1" applyFill="1" applyBorder="1" applyAlignment="1">
      <alignment horizontal="center" vertical="center"/>
    </xf>
    <xf numFmtId="0" fontId="87" fillId="5" borderId="0" xfId="1" applyFont="1" applyFill="1" applyAlignment="1">
      <alignment horizontal="center" vertical="center" textRotation="90"/>
    </xf>
    <xf numFmtId="0" fontId="193" fillId="38" borderId="0" xfId="0" quotePrefix="1" applyFont="1" applyFill="1" applyAlignment="1">
      <alignment horizontal="left" vertical="center" wrapText="1" indent="1"/>
    </xf>
    <xf numFmtId="0" fontId="80" fillId="36" borderId="0" xfId="0" applyFont="1" applyFill="1" applyBorder="1" applyAlignment="1">
      <alignment horizontal="center" vertical="center"/>
    </xf>
    <xf numFmtId="0" fontId="193" fillId="2" borderId="0" xfId="0" quotePrefix="1" applyFont="1" applyFill="1" applyAlignment="1">
      <alignment horizontal="left" vertical="center" wrapText="1" indent="1"/>
    </xf>
    <xf numFmtId="0" fontId="183" fillId="2" borderId="0" xfId="0" quotePrefix="1" applyFont="1" applyFill="1" applyAlignment="1">
      <alignment horizontal="left" vertical="center" wrapText="1" indent="1"/>
    </xf>
    <xf numFmtId="0" fontId="183" fillId="38" borderId="0" xfId="0" quotePrefix="1" applyFont="1" applyFill="1" applyAlignment="1">
      <alignment horizontal="left" vertical="center" wrapText="1" indent="1"/>
    </xf>
    <xf numFmtId="0" fontId="50" fillId="6" borderId="13" xfId="0" applyFont="1" applyFill="1" applyBorder="1" applyAlignment="1">
      <alignment horizontal="center" vertical="center" shrinkToFit="1"/>
    </xf>
    <xf numFmtId="0" fontId="50" fillId="6" borderId="0" xfId="0" applyFont="1" applyFill="1" applyBorder="1" applyAlignment="1">
      <alignment horizontal="center" vertical="center" shrinkToFit="1"/>
    </xf>
    <xf numFmtId="0" fontId="50" fillId="36" borderId="13" xfId="0" applyFont="1" applyFill="1" applyBorder="1" applyAlignment="1">
      <alignment horizontal="center" vertical="center" shrinkToFit="1"/>
    </xf>
    <xf numFmtId="0" fontId="50" fillId="36" borderId="0" xfId="0" applyFont="1" applyFill="1" applyBorder="1" applyAlignment="1">
      <alignment horizontal="center" vertical="center" shrinkToFit="1"/>
    </xf>
    <xf numFmtId="0" fontId="3" fillId="4" borderId="11" xfId="0" applyFont="1" applyFill="1" applyBorder="1" applyAlignment="1">
      <alignment horizontal="center" vertical="center" shrinkToFit="1"/>
    </xf>
    <xf numFmtId="0" fontId="3" fillId="4" borderId="12" xfId="0" applyFont="1" applyFill="1" applyBorder="1" applyAlignment="1">
      <alignment horizontal="center" vertical="center" shrinkToFit="1"/>
    </xf>
    <xf numFmtId="0" fontId="14" fillId="4" borderId="0" xfId="0" applyFont="1" applyFill="1" applyBorder="1" applyAlignment="1">
      <alignment horizontal="center" vertical="center" wrapText="1"/>
    </xf>
    <xf numFmtId="0" fontId="14" fillId="4" borderId="9" xfId="0" applyFont="1" applyFill="1" applyBorder="1" applyAlignment="1">
      <alignment horizontal="center" vertical="center" wrapText="1"/>
    </xf>
    <xf numFmtId="0" fontId="217" fillId="34" borderId="11" xfId="0" applyFont="1" applyFill="1" applyBorder="1" applyAlignment="1">
      <alignment horizontal="center" vertical="center"/>
    </xf>
    <xf numFmtId="0" fontId="217" fillId="34" borderId="17" xfId="0" applyFont="1" applyFill="1" applyBorder="1" applyAlignment="1">
      <alignment horizontal="center" vertical="center"/>
    </xf>
    <xf numFmtId="0" fontId="217" fillId="34" borderId="12" xfId="0" applyFont="1" applyFill="1" applyBorder="1" applyAlignment="1">
      <alignment horizontal="center" vertical="center"/>
    </xf>
    <xf numFmtId="0" fontId="217" fillId="50" borderId="2" xfId="0" applyFont="1" applyFill="1" applyBorder="1" applyAlignment="1">
      <alignment horizontal="center" vertical="center"/>
    </xf>
    <xf numFmtId="0" fontId="217" fillId="50" borderId="3" xfId="0" applyFont="1" applyFill="1" applyBorder="1" applyAlignment="1">
      <alignment horizontal="center" vertical="center"/>
    </xf>
    <xf numFmtId="0" fontId="217" fillId="50" borderId="4" xfId="0" applyFont="1" applyFill="1" applyBorder="1" applyAlignment="1">
      <alignment horizontal="center" vertical="center"/>
    </xf>
    <xf numFmtId="0" fontId="11" fillId="10" borderId="2" xfId="0" applyNumberFormat="1" applyFont="1" applyFill="1" applyBorder="1" applyAlignment="1">
      <alignment horizontal="left" vertical="center" indent="1"/>
    </xf>
    <xf numFmtId="0" fontId="11" fillId="10" borderId="3" xfId="0" applyNumberFormat="1" applyFont="1" applyFill="1" applyBorder="1" applyAlignment="1">
      <alignment horizontal="left" vertical="center" indent="1"/>
    </xf>
    <xf numFmtId="0" fontId="11" fillId="10" borderId="4" xfId="0" applyNumberFormat="1" applyFont="1" applyFill="1" applyBorder="1" applyAlignment="1">
      <alignment horizontal="left" vertical="center" indent="1"/>
    </xf>
    <xf numFmtId="0" fontId="158" fillId="16" borderId="0" xfId="0" applyFont="1" applyFill="1" applyBorder="1" applyAlignment="1">
      <alignment horizontal="center" vertical="center" wrapText="1"/>
    </xf>
    <xf numFmtId="0" fontId="109" fillId="34" borderId="6" xfId="0" applyFont="1" applyFill="1" applyBorder="1" applyAlignment="1">
      <alignment horizontal="center" vertical="center" wrapText="1"/>
    </xf>
    <xf numFmtId="0" fontId="109" fillId="34" borderId="0" xfId="0" applyFont="1" applyFill="1" applyBorder="1" applyAlignment="1">
      <alignment horizontal="center" vertical="center" wrapText="1"/>
    </xf>
    <xf numFmtId="1" fontId="153" fillId="23" borderId="2" xfId="0" applyNumberFormat="1" applyFont="1" applyFill="1" applyBorder="1" applyAlignment="1">
      <alignment horizontal="center" vertical="center"/>
    </xf>
    <xf numFmtId="1" fontId="153" fillId="23" borderId="4" xfId="0" applyNumberFormat="1" applyFont="1" applyFill="1" applyBorder="1" applyAlignment="1">
      <alignment horizontal="center" vertical="center"/>
    </xf>
    <xf numFmtId="14" fontId="125" fillId="2" borderId="2" xfId="0" applyNumberFormat="1" applyFont="1" applyFill="1" applyBorder="1" applyAlignment="1">
      <alignment horizontal="center" vertical="center" shrinkToFit="1"/>
    </xf>
    <xf numFmtId="14" fontId="125" fillId="2" borderId="3" xfId="0" applyNumberFormat="1" applyFont="1" applyFill="1" applyBorder="1" applyAlignment="1">
      <alignment horizontal="center" vertical="center" shrinkToFit="1"/>
    </xf>
    <xf numFmtId="14" fontId="132" fillId="2" borderId="5" xfId="0" applyNumberFormat="1" applyFont="1" applyFill="1" applyBorder="1" applyAlignment="1">
      <alignment horizontal="center" vertical="center" wrapText="1"/>
    </xf>
    <xf numFmtId="14" fontId="132" fillId="2" borderId="6" xfId="0" applyNumberFormat="1" applyFont="1" applyFill="1" applyBorder="1" applyAlignment="1">
      <alignment horizontal="center" vertical="center" wrapText="1"/>
    </xf>
    <xf numFmtId="14" fontId="132" fillId="2" borderId="7" xfId="0" applyNumberFormat="1" applyFont="1" applyFill="1" applyBorder="1" applyAlignment="1">
      <alignment horizontal="center" vertical="center" wrapText="1"/>
    </xf>
    <xf numFmtId="14" fontId="132" fillId="2" borderId="13" xfId="0" applyNumberFormat="1" applyFont="1" applyFill="1" applyBorder="1" applyAlignment="1">
      <alignment horizontal="center" vertical="center" wrapText="1"/>
    </xf>
    <xf numFmtId="14" fontId="132" fillId="2" borderId="0" xfId="0" applyNumberFormat="1" applyFont="1" applyFill="1" applyBorder="1" applyAlignment="1">
      <alignment horizontal="center" vertical="center" wrapText="1"/>
    </xf>
    <xf numFmtId="14" fontId="132" fillId="2" borderId="15" xfId="0" applyNumberFormat="1" applyFont="1" applyFill="1" applyBorder="1" applyAlignment="1">
      <alignment horizontal="center" vertical="center" wrapText="1"/>
    </xf>
    <xf numFmtId="0" fontId="14" fillId="32" borderId="2" xfId="0" applyFont="1" applyFill="1" applyBorder="1" applyAlignment="1">
      <alignment horizontal="center" vertical="center" wrapText="1"/>
    </xf>
    <xf numFmtId="0" fontId="14" fillId="32" borderId="4" xfId="0" applyFont="1" applyFill="1" applyBorder="1" applyAlignment="1">
      <alignment horizontal="center" vertical="center" wrapText="1"/>
    </xf>
    <xf numFmtId="14" fontId="120" fillId="13" borderId="1" xfId="0" applyNumberFormat="1" applyFont="1" applyFill="1" applyBorder="1" applyAlignment="1">
      <alignment horizontal="center" vertical="center" wrapText="1"/>
    </xf>
    <xf numFmtId="14" fontId="137" fillId="40" borderId="2" xfId="0" applyNumberFormat="1" applyFont="1" applyFill="1" applyBorder="1" applyAlignment="1">
      <alignment horizontal="center" vertical="center" wrapText="1"/>
    </xf>
    <xf numFmtId="14" fontId="137" fillId="40" borderId="4" xfId="0" applyNumberFormat="1" applyFont="1" applyFill="1" applyBorder="1" applyAlignment="1">
      <alignment horizontal="center" vertical="center" wrapText="1"/>
    </xf>
    <xf numFmtId="167" fontId="193" fillId="40" borderId="2" xfId="0" applyNumberFormat="1" applyFont="1" applyFill="1" applyBorder="1" applyAlignment="1">
      <alignment horizontal="left" vertical="center" indent="2" shrinkToFit="1"/>
    </xf>
    <xf numFmtId="167" fontId="193" fillId="40" borderId="4" xfId="0" applyNumberFormat="1" applyFont="1" applyFill="1" applyBorder="1" applyAlignment="1">
      <alignment horizontal="left" vertical="center" indent="2" shrinkToFit="1"/>
    </xf>
    <xf numFmtId="14" fontId="83" fillId="23" borderId="2" xfId="0" applyNumberFormat="1" applyFont="1" applyFill="1" applyBorder="1" applyAlignment="1">
      <alignment horizontal="center" vertical="center" wrapText="1"/>
    </xf>
    <xf numFmtId="14" fontId="83" fillId="23" borderId="4" xfId="0" applyNumberFormat="1" applyFont="1" applyFill="1" applyBorder="1" applyAlignment="1">
      <alignment horizontal="center" vertical="center" wrapText="1"/>
    </xf>
    <xf numFmtId="0" fontId="232" fillId="0" borderId="11" xfId="0" applyNumberFormat="1" applyFont="1" applyBorder="1" applyAlignment="1">
      <alignment horizontal="left" vertical="center" wrapText="1"/>
    </xf>
    <xf numFmtId="0" fontId="232" fillId="0" borderId="17" xfId="0" applyNumberFormat="1" applyFont="1" applyBorder="1" applyAlignment="1">
      <alignment horizontal="left" vertical="center" wrapText="1"/>
    </xf>
    <xf numFmtId="0" fontId="232" fillId="0" borderId="12" xfId="0" applyNumberFormat="1" applyFont="1" applyBorder="1" applyAlignment="1">
      <alignment horizontal="left" vertical="center" wrapText="1"/>
    </xf>
    <xf numFmtId="0" fontId="109" fillId="30" borderId="11" xfId="0" applyFont="1" applyFill="1" applyBorder="1" applyAlignment="1">
      <alignment horizontal="center" vertical="center" wrapText="1"/>
    </xf>
    <xf numFmtId="0" fontId="109" fillId="30" borderId="17" xfId="0" applyFont="1" applyFill="1" applyBorder="1" applyAlignment="1">
      <alignment horizontal="center" vertical="center" wrapText="1"/>
    </xf>
    <xf numFmtId="0" fontId="109" fillId="30" borderId="12" xfId="0" applyFont="1" applyFill="1" applyBorder="1" applyAlignment="1">
      <alignment horizontal="center" vertical="center" wrapText="1"/>
    </xf>
    <xf numFmtId="0" fontId="15" fillId="4" borderId="11" xfId="0" applyFont="1" applyFill="1" applyBorder="1" applyAlignment="1">
      <alignment horizontal="center" vertical="center" shrinkToFit="1"/>
    </xf>
    <xf numFmtId="0" fontId="15" fillId="4" borderId="12" xfId="0" applyFont="1" applyFill="1" applyBorder="1" applyAlignment="1">
      <alignment horizontal="center" vertical="center" shrinkToFit="1"/>
    </xf>
    <xf numFmtId="0" fontId="83" fillId="12" borderId="0" xfId="0" quotePrefix="1" applyFont="1" applyFill="1" applyBorder="1" applyAlignment="1" applyProtection="1">
      <alignment vertical="center" wrapText="1"/>
    </xf>
    <xf numFmtId="0" fontId="144" fillId="25" borderId="18" xfId="0" applyFont="1" applyFill="1" applyBorder="1" applyAlignment="1">
      <alignment horizontal="left" vertical="center" wrapText="1" indent="1"/>
    </xf>
    <xf numFmtId="0" fontId="144" fillId="25" borderId="0" xfId="0" applyFont="1" applyFill="1" applyBorder="1" applyAlignment="1">
      <alignment horizontal="left" vertical="center" wrapText="1" indent="1"/>
    </xf>
    <xf numFmtId="0" fontId="3" fillId="20" borderId="0" xfId="0" quotePrefix="1" applyFont="1" applyFill="1" applyBorder="1" applyAlignment="1">
      <alignment horizontal="center" vertical="center"/>
    </xf>
    <xf numFmtId="0" fontId="38" fillId="9" borderId="0" xfId="0" quotePrefix="1" applyFont="1" applyFill="1" applyBorder="1" applyAlignment="1" applyProtection="1">
      <alignment vertical="center" wrapText="1"/>
    </xf>
    <xf numFmtId="0" fontId="83" fillId="23" borderId="0" xfId="0" quotePrefix="1" applyFont="1" applyFill="1" applyBorder="1" applyAlignment="1" applyProtection="1">
      <alignment vertical="center" wrapText="1"/>
    </xf>
  </cellXfs>
  <cellStyles count="2">
    <cellStyle name="Hyperlink" xfId="1" builtinId="8"/>
    <cellStyle name="Normal" xfId="0" builtinId="0"/>
  </cellStyles>
  <dxfs count="115"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/>
        <color rgb="FF00206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7388A5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spc="100" baseline="0">
                <a:solidFill>
                  <a:srgbClr val="00206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tr-TR" sz="2800">
                <a:solidFill>
                  <a:srgbClr val="002060"/>
                </a:solidFill>
              </a:rPr>
              <a:t>SATIŞ KARŞILAŞTIRMA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100" baseline="0">
              <a:solidFill>
                <a:srgbClr val="00206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589110245516826E-2"/>
          <c:y val="0.11918678966060559"/>
          <c:w val="0.90776586810946147"/>
          <c:h val="0.68745443490110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GRAFIK_1!$D$1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Ellipse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GRAFIK_1!$C$2:$C$5</c:f>
              <c:strCache>
                <c:ptCount val="4"/>
                <c:pt idx="0">
                  <c:v>Oca-Mart</c:v>
                </c:pt>
                <c:pt idx="1">
                  <c:v>Nis-Haz</c:v>
                </c:pt>
                <c:pt idx="2">
                  <c:v>Tem-Eyl</c:v>
                </c:pt>
                <c:pt idx="3">
                  <c:v>Eki-Ara</c:v>
                </c:pt>
              </c:strCache>
            </c:strRef>
          </c:cat>
          <c:val>
            <c:numRef>
              <c:f>GRAFIK_1!$D$2:$D$5</c:f>
              <c:numCache>
                <c:formatCode>#,##0</c:formatCode>
                <c:ptCount val="4"/>
                <c:pt idx="0">
                  <c:v>200</c:v>
                </c:pt>
                <c:pt idx="1">
                  <c:v>250</c:v>
                </c:pt>
                <c:pt idx="2">
                  <c:v>400</c:v>
                </c:pt>
                <c:pt idx="3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DE-42D4-BCCB-05896DEEB4E9}"/>
            </c:ext>
          </c:extLst>
        </c:ser>
        <c:ser>
          <c:idx val="1"/>
          <c:order val="1"/>
          <c:tx>
            <c:strRef>
              <c:f>GRAFIK_1!$E$1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C0000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downArrow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GRAFIK_1!$C$2:$C$5</c:f>
              <c:strCache>
                <c:ptCount val="4"/>
                <c:pt idx="0">
                  <c:v>Oca-Mart</c:v>
                </c:pt>
                <c:pt idx="1">
                  <c:v>Nis-Haz</c:v>
                </c:pt>
                <c:pt idx="2">
                  <c:v>Tem-Eyl</c:v>
                </c:pt>
                <c:pt idx="3">
                  <c:v>Eki-Ara</c:v>
                </c:pt>
              </c:strCache>
            </c:strRef>
          </c:cat>
          <c:val>
            <c:numRef>
              <c:f>GRAFIK_1!$E$2:$E$5</c:f>
              <c:numCache>
                <c:formatCode>#,##0</c:formatCode>
                <c:ptCount val="4"/>
                <c:pt idx="0">
                  <c:v>180</c:v>
                </c:pt>
                <c:pt idx="1">
                  <c:v>320</c:v>
                </c:pt>
                <c:pt idx="2">
                  <c:v>350</c:v>
                </c:pt>
                <c:pt idx="3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DE-42D4-BCCB-05896DEEB4E9}"/>
            </c:ext>
          </c:extLst>
        </c:ser>
        <c:ser>
          <c:idx val="2"/>
          <c:order val="2"/>
          <c:tx>
            <c:strRef>
              <c:f>GRAFIK_1!$F$1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FFC00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GRAFIK_1!$C$2:$C$5</c:f>
              <c:strCache>
                <c:ptCount val="4"/>
                <c:pt idx="0">
                  <c:v>Oca-Mart</c:v>
                </c:pt>
                <c:pt idx="1">
                  <c:v>Nis-Haz</c:v>
                </c:pt>
                <c:pt idx="2">
                  <c:v>Tem-Eyl</c:v>
                </c:pt>
                <c:pt idx="3">
                  <c:v>Eki-Ara</c:v>
                </c:pt>
              </c:strCache>
            </c:strRef>
          </c:cat>
          <c:val>
            <c:numRef>
              <c:f>GRAFIK_1!$F$2:$F$5</c:f>
              <c:numCache>
                <c:formatCode>#,##0</c:formatCode>
                <c:ptCount val="4"/>
                <c:pt idx="0">
                  <c:v>220</c:v>
                </c:pt>
                <c:pt idx="1">
                  <c:v>170</c:v>
                </c:pt>
                <c:pt idx="2">
                  <c:v>600</c:v>
                </c:pt>
                <c:pt idx="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DE-42D4-BCCB-05896DEEB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96886175"/>
        <c:axId val="1596882431"/>
      </c:barChart>
      <c:catAx>
        <c:axId val="15968861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  <a:head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882431"/>
        <c:crosses val="autoZero"/>
        <c:auto val="1"/>
        <c:lblAlgn val="ctr"/>
        <c:lblOffset val="100"/>
        <c:noMultiLvlLbl val="0"/>
      </c:catAx>
      <c:valAx>
        <c:axId val="1596882431"/>
        <c:scaling>
          <c:orientation val="minMax"/>
          <c:min val="0"/>
        </c:scaling>
        <c:delete val="0"/>
        <c:axPos val="l"/>
        <c:majorGridlines>
          <c:spPr>
            <a:ln w="38100" cap="flat" cmpd="sng" algn="ctr">
              <a:solidFill>
                <a:srgbClr val="C00000">
                  <a:alpha val="10000"/>
                </a:srgbClr>
              </a:solidFill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solidFill>
            <a:schemeClr val="accent5">
              <a:lumMod val="75000"/>
            </a:schemeClr>
          </a:solidFill>
          <a:ln>
            <a:solidFill>
              <a:srgbClr val="C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886175"/>
        <c:crosses val="autoZero"/>
        <c:crossBetween val="between"/>
        <c:minorUnit val="20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7692381723473868"/>
          <c:y val="0.89630497418199961"/>
          <c:w val="0.64615236553052258"/>
          <c:h val="0.103695025818000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5">
        <a:lumMod val="40000"/>
        <a:lumOff val="60000"/>
      </a:schemeClr>
    </a:solidFill>
    <a:ln>
      <a:solidFill>
        <a:schemeClr val="lt1">
          <a:lumMod val="95000"/>
        </a:schemeClr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solidFill>
          <a:schemeClr val="accent4">
            <a:lumMod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GRAFIK_2!$D$8</c:f>
              <c:strCache>
                <c:ptCount val="1"/>
                <c:pt idx="0">
                  <c:v>2018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756-468C-9B70-F175EFAB8EC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756-468C-9B70-F175EFAB8EC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756-468C-9B70-F175EFAB8EC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756-468C-9B70-F175EFAB8E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GRAFIK_2!$C$9:$C$12</c:f>
              <c:strCache>
                <c:ptCount val="4"/>
                <c:pt idx="0">
                  <c:v>Oca-Mart</c:v>
                </c:pt>
                <c:pt idx="1">
                  <c:v>Nis-Haz</c:v>
                </c:pt>
                <c:pt idx="2">
                  <c:v>Tem-Eyl</c:v>
                </c:pt>
                <c:pt idx="3">
                  <c:v>Eki-Ara</c:v>
                </c:pt>
              </c:strCache>
            </c:strRef>
          </c:cat>
          <c:val>
            <c:numRef>
              <c:f>GRAFIK_2!$D$9:$D$12</c:f>
              <c:numCache>
                <c:formatCode>#,##0</c:formatCode>
                <c:ptCount val="4"/>
                <c:pt idx="0">
                  <c:v>200</c:v>
                </c:pt>
                <c:pt idx="1">
                  <c:v>800</c:v>
                </c:pt>
                <c:pt idx="2">
                  <c:v>600</c:v>
                </c:pt>
                <c:pt idx="3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26-4526-8DAB-A8F5966706B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GRAFIK_3!$C$9</c:f>
              <c:strCache>
                <c:ptCount val="1"/>
                <c:pt idx="0">
                  <c:v>Oca-Mart</c:v>
                </c:pt>
              </c:strCache>
            </c:strRef>
          </c:tx>
          <c:spPr>
            <a:ln w="190500" cap="rnd" cmpd="sng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GRAFIK_3!$D$8:$F$8</c:f>
              <c:strCache>
                <c:ptCount val="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</c:strCache>
            </c:strRef>
          </c:cat>
          <c:val>
            <c:numRef>
              <c:f>GRAFIK_3!$D$9:$F$9</c:f>
              <c:numCache>
                <c:formatCode>#,##0</c:formatCode>
                <c:ptCount val="3"/>
                <c:pt idx="0">
                  <c:v>200</c:v>
                </c:pt>
                <c:pt idx="1">
                  <c:v>140</c:v>
                </c:pt>
                <c:pt idx="2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5-48DF-81F6-D91DDBB1D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6868287"/>
        <c:axId val="1596913631"/>
      </c:lineChart>
      <c:catAx>
        <c:axId val="1596868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accent4">
              <a:lumMod val="40000"/>
              <a:lumOff val="6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913631"/>
        <c:crosses val="autoZero"/>
        <c:auto val="1"/>
        <c:lblAlgn val="ctr"/>
        <c:lblOffset val="100"/>
        <c:noMultiLvlLbl val="0"/>
      </c:catAx>
      <c:valAx>
        <c:axId val="1596913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868287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4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png"/><Relationship Id="rId6" Type="http://schemas.openxmlformats.org/officeDocument/2006/relationships/image" Target="../media/image34.emf"/><Relationship Id="rId5" Type="http://schemas.openxmlformats.org/officeDocument/2006/relationships/image" Target="../media/image33.emf"/><Relationship Id="rId4" Type="http://schemas.openxmlformats.org/officeDocument/2006/relationships/image" Target="../media/image32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9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21166</xdr:colOff>
      <xdr:row>2</xdr:row>
      <xdr:rowOff>331735</xdr:rowOff>
    </xdr:from>
    <xdr:ext cx="4572001" cy="587321"/>
    <xdr:pic>
      <xdr:nvPicPr>
        <xdr:cNvPr id="2" name="Picture 1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9916" y="1199568"/>
          <a:ext cx="4572001" cy="587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0</xdr:col>
      <xdr:colOff>10583</xdr:colOff>
      <xdr:row>8</xdr:row>
      <xdr:rowOff>173703</xdr:rowOff>
    </xdr:from>
    <xdr:to>
      <xdr:col>3</xdr:col>
      <xdr:colOff>1129360</xdr:colOff>
      <xdr:row>11</xdr:row>
      <xdr:rowOff>95249</xdr:rowOff>
    </xdr:to>
    <xdr:pic>
      <xdr:nvPicPr>
        <xdr:cNvPr id="3" name="Picture 2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83" y="3592120"/>
          <a:ext cx="5965944" cy="10645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4488182</xdr:colOff>
      <xdr:row>5</xdr:row>
      <xdr:rowOff>62865</xdr:rowOff>
    </xdr:from>
    <xdr:ext cx="4600574" cy="561975"/>
    <xdr:pic>
      <xdr:nvPicPr>
        <xdr:cNvPr id="4" name="Picture 1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2" y="2234565"/>
          <a:ext cx="460057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4478657</xdr:colOff>
      <xdr:row>3</xdr:row>
      <xdr:rowOff>423022</xdr:rowOff>
    </xdr:from>
    <xdr:ext cx="4600574" cy="561975"/>
    <xdr:pic>
      <xdr:nvPicPr>
        <xdr:cNvPr id="5" name="Picture 13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2097" y="1726042"/>
          <a:ext cx="460057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3</xdr:col>
      <xdr:colOff>4181140</xdr:colOff>
      <xdr:row>0</xdr:row>
      <xdr:rowOff>370628</xdr:rowOff>
    </xdr:from>
    <xdr:to>
      <xdr:col>8</xdr:col>
      <xdr:colOff>538438</xdr:colOff>
      <xdr:row>2</xdr:row>
      <xdr:rowOff>306916</xdr:rowOff>
    </xdr:to>
    <xdr:pic>
      <xdr:nvPicPr>
        <xdr:cNvPr id="6" name="Picture 1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28307" y="370628"/>
          <a:ext cx="4665214" cy="8041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342900</xdr:colOff>
      <xdr:row>7</xdr:row>
      <xdr:rowOff>47625</xdr:rowOff>
    </xdr:from>
    <xdr:ext cx="4114800" cy="847077"/>
    <xdr:pic>
      <xdr:nvPicPr>
        <xdr:cNvPr id="2" name="Picture 2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3048000"/>
          <a:ext cx="4114800" cy="8470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269501</xdr:colOff>
      <xdr:row>9</xdr:row>
      <xdr:rowOff>33048</xdr:rowOff>
    </xdr:from>
    <xdr:ext cx="4236849" cy="793707"/>
    <xdr:pic>
      <xdr:nvPicPr>
        <xdr:cNvPr id="3" name="Picture 2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501" y="3890673"/>
          <a:ext cx="4236849" cy="7937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3</xdr:col>
      <xdr:colOff>371475</xdr:colOff>
      <xdr:row>9</xdr:row>
      <xdr:rowOff>117240</xdr:rowOff>
    </xdr:from>
    <xdr:to>
      <xdr:col>4</xdr:col>
      <xdr:colOff>865649</xdr:colOff>
      <xdr:row>11</xdr:row>
      <xdr:rowOff>17771</xdr:rowOff>
    </xdr:to>
    <xdr:pic>
      <xdr:nvPicPr>
        <xdr:cNvPr id="4" name="Picture 10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7325" y="3974865"/>
          <a:ext cx="3866024" cy="757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371475</xdr:colOff>
      <xdr:row>7</xdr:row>
      <xdr:rowOff>200026</xdr:rowOff>
    </xdr:from>
    <xdr:to>
      <xdr:col>4</xdr:col>
      <xdr:colOff>885825</xdr:colOff>
      <xdr:row>9</xdr:row>
      <xdr:rowOff>51548</xdr:rowOff>
    </xdr:to>
    <xdr:pic>
      <xdr:nvPicPr>
        <xdr:cNvPr id="5" name="Picture 1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7325" y="3200401"/>
          <a:ext cx="3886200" cy="7087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639536</xdr:colOff>
      <xdr:row>7</xdr:row>
      <xdr:rowOff>190739</xdr:rowOff>
    </xdr:from>
    <xdr:ext cx="1228725" cy="1343025"/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9936" y="1695689"/>
          <a:ext cx="1228725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666750</xdr:colOff>
      <xdr:row>41</xdr:row>
      <xdr:rowOff>41061</xdr:rowOff>
    </xdr:from>
    <xdr:ext cx="1228725" cy="1343025"/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7150" y="8346861"/>
          <a:ext cx="1228725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639536</xdr:colOff>
      <xdr:row>7</xdr:row>
      <xdr:rowOff>180975</xdr:rowOff>
    </xdr:from>
    <xdr:ext cx="1228725" cy="1343025"/>
    <xdr:pic>
      <xdr:nvPicPr>
        <xdr:cNvPr id="4" name="Resi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26436" y="1685925"/>
          <a:ext cx="1228725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653143</xdr:colOff>
      <xdr:row>41</xdr:row>
      <xdr:rowOff>0</xdr:rowOff>
    </xdr:from>
    <xdr:ext cx="1228725" cy="1343025"/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40043" y="8305800"/>
          <a:ext cx="1228725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41308</xdr:colOff>
      <xdr:row>0</xdr:row>
      <xdr:rowOff>0</xdr:rowOff>
    </xdr:from>
    <xdr:ext cx="6338750" cy="1220046"/>
    <xdr:pic>
      <xdr:nvPicPr>
        <xdr:cNvPr id="2" name="Picture 1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4058" y="0"/>
          <a:ext cx="6338750" cy="12200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6</xdr:col>
      <xdr:colOff>181429</xdr:colOff>
      <xdr:row>4</xdr:row>
      <xdr:rowOff>42333</xdr:rowOff>
    </xdr:from>
    <xdr:to>
      <xdr:col>12</xdr:col>
      <xdr:colOff>814916</xdr:colOff>
      <xdr:row>6</xdr:row>
      <xdr:rowOff>323427</xdr:rowOff>
    </xdr:to>
    <xdr:pic>
      <xdr:nvPicPr>
        <xdr:cNvPr id="3" name="Picture 1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44179" y="1778000"/>
          <a:ext cx="6274404" cy="11489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698510</xdr:colOff>
      <xdr:row>3</xdr:row>
      <xdr:rowOff>95250</xdr:rowOff>
    </xdr:from>
    <xdr:to>
      <xdr:col>13</xdr:col>
      <xdr:colOff>359838</xdr:colOff>
      <xdr:row>3</xdr:row>
      <xdr:rowOff>95251</xdr:rowOff>
    </xdr:to>
    <xdr:cxnSp macro="">
      <xdr:nvCxnSpPr>
        <xdr:cNvPr id="4" name="Düz Ok Bağlayıcısı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 flipV="1">
          <a:off x="13102177" y="1397000"/>
          <a:ext cx="836078" cy="1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1387929</xdr:colOff>
      <xdr:row>5</xdr:row>
      <xdr:rowOff>40824</xdr:rowOff>
    </xdr:from>
    <xdr:to>
      <xdr:col>12</xdr:col>
      <xdr:colOff>690258</xdr:colOff>
      <xdr:row>10</xdr:row>
      <xdr:rowOff>258536</xdr:rowOff>
    </xdr:to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1322" y="2843895"/>
          <a:ext cx="5167007" cy="25581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53835</xdr:colOff>
      <xdr:row>7</xdr:row>
      <xdr:rowOff>49058</xdr:rowOff>
    </xdr:from>
    <xdr:to>
      <xdr:col>7</xdr:col>
      <xdr:colOff>1342931</xdr:colOff>
      <xdr:row>9</xdr:row>
      <xdr:rowOff>309936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17228" y="3886272"/>
          <a:ext cx="5099096" cy="1131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75206</xdr:colOff>
      <xdr:row>10</xdr:row>
      <xdr:rowOff>58109</xdr:rowOff>
    </xdr:from>
    <xdr:to>
      <xdr:col>7</xdr:col>
      <xdr:colOff>1281438</xdr:colOff>
      <xdr:row>12</xdr:row>
      <xdr:rowOff>344259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8599" y="5201609"/>
          <a:ext cx="5016232" cy="11570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359035</xdr:colOff>
      <xdr:row>14</xdr:row>
      <xdr:rowOff>54011</xdr:rowOff>
    </xdr:from>
    <xdr:to>
      <xdr:col>20</xdr:col>
      <xdr:colOff>633638</xdr:colOff>
      <xdr:row>19</xdr:row>
      <xdr:rowOff>123264</xdr:rowOff>
    </xdr:to>
    <xdr:pic>
      <xdr:nvPicPr>
        <xdr:cNvPr id="2" name="Picture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9329" y="4603599"/>
          <a:ext cx="6090456" cy="11786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11206</xdr:colOff>
      <xdr:row>14</xdr:row>
      <xdr:rowOff>22412</xdr:rowOff>
    </xdr:from>
    <xdr:to>
      <xdr:col>10</xdr:col>
      <xdr:colOff>83000</xdr:colOff>
      <xdr:row>20</xdr:row>
      <xdr:rowOff>15023</xdr:rowOff>
    </xdr:to>
    <xdr:pic>
      <xdr:nvPicPr>
        <xdr:cNvPr id="3" name="Picture 9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059" y="4572000"/>
          <a:ext cx="6772912" cy="12812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17288</xdr:colOff>
      <xdr:row>16</xdr:row>
      <xdr:rowOff>44824</xdr:rowOff>
    </xdr:from>
    <xdr:to>
      <xdr:col>4</xdr:col>
      <xdr:colOff>925284</xdr:colOff>
      <xdr:row>18</xdr:row>
      <xdr:rowOff>4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39109" y="5936717"/>
          <a:ext cx="5316711" cy="445037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Menüdeki</a:t>
          </a:r>
          <a:r>
            <a:rPr lang="tr-TR" sz="1600" b="1" baseline="0"/>
            <a:t> Yeri : Giriş &gt; Stiller &gt; Koşullu Biçimlendirme</a:t>
          </a:r>
          <a:endParaRPr lang="tr-TR" sz="1600" b="1"/>
        </a:p>
      </xdr:txBody>
    </xdr:sp>
    <xdr:clientData/>
  </xdr:twoCellAnchor>
  <xdr:twoCellAnchor>
    <xdr:from>
      <xdr:col>1</xdr:col>
      <xdr:colOff>20009</xdr:colOff>
      <xdr:row>18</xdr:row>
      <xdr:rowOff>156403</xdr:rowOff>
    </xdr:from>
    <xdr:to>
      <xdr:col>6</xdr:col>
      <xdr:colOff>530679</xdr:colOff>
      <xdr:row>20</xdr:row>
      <xdr:rowOff>111583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1830" y="6538153"/>
          <a:ext cx="6198456" cy="445037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Yeni</a:t>
          </a:r>
          <a:r>
            <a:rPr lang="tr-TR" sz="1600" b="1" baseline="0"/>
            <a:t> Kural &gt; Biçimlendirilecek Hücreleri Belirlemek İçin Formül Kullan</a:t>
          </a:r>
          <a:endParaRPr lang="tr-TR" sz="16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219075</xdr:colOff>
      <xdr:row>6</xdr:row>
      <xdr:rowOff>245745</xdr:rowOff>
    </xdr:from>
    <xdr:ext cx="6356986" cy="1653540"/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2817495"/>
          <a:ext cx="6356986" cy="1653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35862</xdr:colOff>
      <xdr:row>0</xdr:row>
      <xdr:rowOff>26891</xdr:rowOff>
    </xdr:from>
    <xdr:to>
      <xdr:col>12</xdr:col>
      <xdr:colOff>0</xdr:colOff>
      <xdr:row>0</xdr:row>
      <xdr:rowOff>385483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8367062" y="26891"/>
          <a:ext cx="5260038" cy="358592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Menüdeki</a:t>
          </a:r>
          <a:r>
            <a:rPr lang="tr-TR" sz="1600" b="1" baseline="0"/>
            <a:t> Yeri : Giriş &gt; Düzenleme &gt; Sırala ve Filtre Uygula</a:t>
          </a:r>
          <a:endParaRPr lang="tr-TR" sz="16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73962</xdr:colOff>
      <xdr:row>10</xdr:row>
      <xdr:rowOff>52291</xdr:rowOff>
    </xdr:from>
    <xdr:to>
      <xdr:col>13</xdr:col>
      <xdr:colOff>1892300</xdr:colOff>
      <xdr:row>15</xdr:row>
      <xdr:rowOff>330200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4513862" y="3481291"/>
          <a:ext cx="1818338" cy="1992409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Menüdeki</a:t>
          </a:r>
          <a:r>
            <a:rPr lang="tr-TR" sz="1600" b="1" baseline="0"/>
            <a:t> Yeri : Giriş &gt; </a:t>
          </a:r>
        </a:p>
        <a:p>
          <a:pPr algn="l"/>
          <a:r>
            <a:rPr lang="tr-TR" sz="1600" b="1" baseline="0"/>
            <a:t>Düzenleme &gt; </a:t>
          </a:r>
        </a:p>
        <a:p>
          <a:pPr algn="l"/>
          <a:r>
            <a:rPr lang="tr-TR" sz="1600" b="1" baseline="0"/>
            <a:t>Sırala ve Filtre Uygula &gt; </a:t>
          </a:r>
        </a:p>
        <a:p>
          <a:pPr algn="l"/>
          <a:r>
            <a:rPr lang="tr-TR" sz="1600" b="1" baseline="0"/>
            <a:t>Özel Sıralama</a:t>
          </a:r>
          <a:endParaRPr lang="tr-TR" sz="1600" b="1"/>
        </a:p>
      </xdr:txBody>
    </xdr:sp>
    <xdr:clientData/>
  </xdr:twoCellAnchor>
  <xdr:twoCellAnchor>
    <xdr:from>
      <xdr:col>2</xdr:col>
      <xdr:colOff>12700</xdr:colOff>
      <xdr:row>3</xdr:row>
      <xdr:rowOff>12700</xdr:rowOff>
    </xdr:from>
    <xdr:to>
      <xdr:col>2</xdr:col>
      <xdr:colOff>25400</xdr:colOff>
      <xdr:row>12</xdr:row>
      <xdr:rowOff>228600</xdr:rowOff>
    </xdr:to>
    <xdr:cxnSp macro="">
      <xdr:nvCxnSpPr>
        <xdr:cNvPr id="5" name="Düz Ok Bağlayıcısı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CxnSpPr/>
      </xdr:nvCxnSpPr>
      <xdr:spPr>
        <a:xfrm flipH="1">
          <a:off x="3022600" y="1041400"/>
          <a:ext cx="12700" cy="3302000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1409700</xdr:colOff>
      <xdr:row>2</xdr:row>
      <xdr:rowOff>38100</xdr:rowOff>
    </xdr:from>
    <xdr:to>
      <xdr:col>11</xdr:col>
      <xdr:colOff>12700</xdr:colOff>
      <xdr:row>2</xdr:row>
      <xdr:rowOff>38100</xdr:rowOff>
    </xdr:to>
    <xdr:cxnSp macro="">
      <xdr:nvCxnSpPr>
        <xdr:cNvPr id="7" name="Düz Ok Bağlayıcısı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9677400" y="723900"/>
          <a:ext cx="4546600" cy="0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67734</xdr:colOff>
      <xdr:row>2</xdr:row>
      <xdr:rowOff>95250</xdr:rowOff>
    </xdr:from>
    <xdr:to>
      <xdr:col>21</xdr:col>
      <xdr:colOff>563034</xdr:colOff>
      <xdr:row>4</xdr:row>
      <xdr:rowOff>123825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234" y="666750"/>
          <a:ext cx="12306300" cy="430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11</xdr:row>
      <xdr:rowOff>9525</xdr:rowOff>
    </xdr:from>
    <xdr:to>
      <xdr:col>22</xdr:col>
      <xdr:colOff>0</xdr:colOff>
      <xdr:row>13</xdr:row>
      <xdr:rowOff>171450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56645" y="2470785"/>
          <a:ext cx="1095375" cy="6343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99060</xdr:colOff>
      <xdr:row>0</xdr:row>
      <xdr:rowOff>60960</xdr:rowOff>
    </xdr:from>
    <xdr:to>
      <xdr:col>21</xdr:col>
      <xdr:colOff>548640</xdr:colOff>
      <xdr:row>1</xdr:row>
      <xdr:rowOff>212157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6964680" y="60960"/>
          <a:ext cx="5935980" cy="433137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Menüdeki</a:t>
          </a:r>
          <a:r>
            <a:rPr lang="tr-TR" sz="1600" b="1" baseline="0"/>
            <a:t> Yeri : Dosya &gt; Seçenekler &gt;  Hızlı Erişim Araç Çubuğu</a:t>
          </a:r>
          <a:endParaRPr lang="tr-TR" sz="16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15241</xdr:colOff>
      <xdr:row>1</xdr:row>
      <xdr:rowOff>51435</xdr:rowOff>
    </xdr:from>
    <xdr:to>
      <xdr:col>16</xdr:col>
      <xdr:colOff>997324</xdr:colOff>
      <xdr:row>11</xdr:row>
      <xdr:rowOff>336177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118332</xdr:colOff>
      <xdr:row>6</xdr:row>
      <xdr:rowOff>71718</xdr:rowOff>
    </xdr:from>
    <xdr:to>
      <xdr:col>4</xdr:col>
      <xdr:colOff>1030942</xdr:colOff>
      <xdr:row>6</xdr:row>
      <xdr:rowOff>437478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18332" y="3097306"/>
          <a:ext cx="4487286" cy="36576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Menüdeki</a:t>
          </a:r>
          <a:r>
            <a:rPr lang="tr-TR" sz="1600" b="1" baseline="0"/>
            <a:t> Yeri : Ekle &gt; Grafikler</a:t>
          </a:r>
          <a:endParaRPr lang="tr-TR" sz="1600" b="1"/>
        </a:p>
      </xdr:txBody>
    </xdr:sp>
    <xdr:clientData/>
  </xdr:twoCellAnchor>
  <xdr:twoCellAnchor>
    <xdr:from>
      <xdr:col>0</xdr:col>
      <xdr:colOff>125055</xdr:colOff>
      <xdr:row>7</xdr:row>
      <xdr:rowOff>44824</xdr:rowOff>
    </xdr:from>
    <xdr:to>
      <xdr:col>4</xdr:col>
      <xdr:colOff>1037665</xdr:colOff>
      <xdr:row>7</xdr:row>
      <xdr:rowOff>410584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125055" y="3529853"/>
          <a:ext cx="4487286" cy="36576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Sütun veya Çubuk</a:t>
          </a:r>
          <a:r>
            <a:rPr lang="tr-TR" sz="1600" b="1" baseline="0"/>
            <a:t> Grafik Ekle &gt; Kümelenmiş Sütun</a:t>
          </a:r>
          <a:endParaRPr lang="tr-TR" sz="16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33619</xdr:colOff>
      <xdr:row>1</xdr:row>
      <xdr:rowOff>62751</xdr:rowOff>
    </xdr:from>
    <xdr:to>
      <xdr:col>17</xdr:col>
      <xdr:colOff>560293</xdr:colOff>
      <xdr:row>11</xdr:row>
      <xdr:rowOff>403410</xdr:rowOff>
    </xdr:to>
    <xdr:graphicFrame macro="">
      <xdr:nvGraphicFramePr>
        <xdr:cNvPr id="3" name="Grafik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448238</xdr:colOff>
      <xdr:row>7</xdr:row>
      <xdr:rowOff>11205</xdr:rowOff>
    </xdr:from>
    <xdr:to>
      <xdr:col>5</xdr:col>
      <xdr:colOff>694766</xdr:colOff>
      <xdr:row>9</xdr:row>
      <xdr:rowOff>56030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4022914" y="3406587"/>
          <a:ext cx="1288676" cy="96370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Pasta veya</a:t>
          </a:r>
          <a:r>
            <a:rPr lang="tr-TR" sz="1600" b="1" baseline="0"/>
            <a:t> Halka Grafik Ekle</a:t>
          </a:r>
          <a:endParaRPr lang="tr-TR" sz="1600" b="1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5491</xdr:colOff>
      <xdr:row>1</xdr:row>
      <xdr:rowOff>53340</xdr:rowOff>
    </xdr:from>
    <xdr:to>
      <xdr:col>18</xdr:col>
      <xdr:colOff>571500</xdr:colOff>
      <xdr:row>12</xdr:row>
      <xdr:rowOff>289560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11206</xdr:colOff>
      <xdr:row>10</xdr:row>
      <xdr:rowOff>89647</xdr:rowOff>
    </xdr:from>
    <xdr:to>
      <xdr:col>4</xdr:col>
      <xdr:colOff>493060</xdr:colOff>
      <xdr:row>11</xdr:row>
      <xdr:rowOff>164054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49088" y="4728882"/>
          <a:ext cx="3518648" cy="36576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Çizgi veya Alan</a:t>
          </a:r>
          <a:r>
            <a:rPr lang="tr-TR" sz="1600" b="1" baseline="0"/>
            <a:t> Grafiği Ekle &gt; Çizgi</a:t>
          </a:r>
          <a:endParaRPr lang="tr-TR" sz="1600" b="1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125553</xdr:colOff>
      <xdr:row>5</xdr:row>
      <xdr:rowOff>42109</xdr:rowOff>
    </xdr:from>
    <xdr:to>
      <xdr:col>11</xdr:col>
      <xdr:colOff>582083</xdr:colOff>
      <xdr:row>10</xdr:row>
      <xdr:rowOff>0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2052970" y="1703692"/>
          <a:ext cx="1546613" cy="14924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Menüdeki</a:t>
          </a:r>
          <a:r>
            <a:rPr lang="tr-TR" sz="1600" b="1" baseline="0"/>
            <a:t> Yeri : </a:t>
          </a:r>
        </a:p>
        <a:p>
          <a:pPr algn="l"/>
          <a:r>
            <a:rPr lang="tr-TR" sz="1600" b="1" baseline="0"/>
            <a:t>Veri &gt; </a:t>
          </a:r>
        </a:p>
        <a:p>
          <a:pPr algn="l"/>
          <a:r>
            <a:rPr lang="tr-TR" sz="1600" b="1"/>
            <a:t>Veri Araçları &gt; Yinelenenleri Kaldır</a:t>
          </a:r>
        </a:p>
      </xdr:txBody>
    </xdr:sp>
    <xdr:clientData/>
  </xdr:twoCellAnchor>
  <xdr:twoCellAnchor>
    <xdr:from>
      <xdr:col>10</xdr:col>
      <xdr:colOff>9525</xdr:colOff>
      <xdr:row>2</xdr:row>
      <xdr:rowOff>16043</xdr:rowOff>
    </xdr:from>
    <xdr:to>
      <xdr:col>11</xdr:col>
      <xdr:colOff>560917</xdr:colOff>
      <xdr:row>4</xdr:row>
      <xdr:rowOff>63500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2063942" y="629876"/>
          <a:ext cx="1514475" cy="788291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2000" b="1"/>
            <a:t>Tekrar eden verileri siler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1832609</xdr:colOff>
      <xdr:row>6</xdr:row>
      <xdr:rowOff>38100</xdr:rowOff>
    </xdr:from>
    <xdr:ext cx="5929371" cy="1268730"/>
    <xdr:pic>
      <xdr:nvPicPr>
        <xdr:cNvPr id="2" name="Picture 20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8809" y="3486150"/>
          <a:ext cx="5929371" cy="12687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</xdr:col>
      <xdr:colOff>609601</xdr:colOff>
      <xdr:row>1</xdr:row>
      <xdr:rowOff>66675</xdr:rowOff>
    </xdr:from>
    <xdr:to>
      <xdr:col>2</xdr:col>
      <xdr:colOff>1466851</xdr:colOff>
      <xdr:row>1</xdr:row>
      <xdr:rowOff>533821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1" y="609600"/>
          <a:ext cx="857250" cy="4671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526676</xdr:colOff>
      <xdr:row>21</xdr:row>
      <xdr:rowOff>78442</xdr:rowOff>
    </xdr:from>
    <xdr:to>
      <xdr:col>19</xdr:col>
      <xdr:colOff>515470</xdr:colOff>
      <xdr:row>36</xdr:row>
      <xdr:rowOff>157019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6852" y="5311589"/>
          <a:ext cx="5636559" cy="31041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8967</xdr:colOff>
      <xdr:row>16</xdr:row>
      <xdr:rowOff>53791</xdr:rowOff>
    </xdr:from>
    <xdr:to>
      <xdr:col>16</xdr:col>
      <xdr:colOff>582706</xdr:colOff>
      <xdr:row>18</xdr:row>
      <xdr:rowOff>78440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10564908" y="4345644"/>
          <a:ext cx="1783974" cy="562531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400" b="1"/>
            <a:t>Veri</a:t>
          </a:r>
          <a:r>
            <a:rPr lang="tr-TR" sz="1400" b="1" baseline="0"/>
            <a:t> değişince &gt; Yenile</a:t>
          </a:r>
          <a:endParaRPr lang="tr-TR" sz="1400" b="1"/>
        </a:p>
      </xdr:txBody>
    </xdr:sp>
    <xdr:clientData/>
  </xdr:twoCellAnchor>
  <xdr:twoCellAnchor>
    <xdr:from>
      <xdr:col>14</xdr:col>
      <xdr:colOff>15689</xdr:colOff>
      <xdr:row>18</xdr:row>
      <xdr:rowOff>194986</xdr:rowOff>
    </xdr:from>
    <xdr:to>
      <xdr:col>16</xdr:col>
      <xdr:colOff>582706</xdr:colOff>
      <xdr:row>20</xdr:row>
      <xdr:rowOff>219634</xdr:rowOff>
    </xdr:to>
    <xdr:sp macro="" textlink="">
      <xdr:nvSpPr>
        <xdr:cNvPr id="9" name="Dikdörtgen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10571630" y="5024721"/>
          <a:ext cx="1777252" cy="562531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400" b="1"/>
            <a:t>Alan Listesini Gizle/Göster</a:t>
          </a:r>
        </a:p>
      </xdr:txBody>
    </xdr:sp>
    <xdr:clientData/>
  </xdr:twoCellAnchor>
  <xdr:twoCellAnchor>
    <xdr:from>
      <xdr:col>14</xdr:col>
      <xdr:colOff>13445</xdr:colOff>
      <xdr:row>0</xdr:row>
      <xdr:rowOff>0</xdr:rowOff>
    </xdr:from>
    <xdr:to>
      <xdr:col>17</xdr:col>
      <xdr:colOff>2238</xdr:colOff>
      <xdr:row>2</xdr:row>
      <xdr:rowOff>22411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10569386" y="0"/>
          <a:ext cx="1804146" cy="549087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400" b="1"/>
            <a:t>Menüdeki Yeri : </a:t>
          </a:r>
        </a:p>
        <a:p>
          <a:pPr algn="l"/>
          <a:r>
            <a:rPr lang="tr-TR" sz="1400" b="1"/>
            <a:t>Ekle &gt; Pivot Table</a:t>
          </a:r>
        </a:p>
      </xdr:txBody>
    </xdr:sp>
    <xdr:clientData/>
  </xdr:twoCellAnchor>
  <xdr:twoCellAnchor>
    <xdr:from>
      <xdr:col>14</xdr:col>
      <xdr:colOff>20169</xdr:colOff>
      <xdr:row>2</xdr:row>
      <xdr:rowOff>156885</xdr:rowOff>
    </xdr:from>
    <xdr:to>
      <xdr:col>17</xdr:col>
      <xdr:colOff>2238</xdr:colOff>
      <xdr:row>4</xdr:row>
      <xdr:rowOff>123268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/>
      </xdr:nvSpPr>
      <xdr:spPr>
        <a:xfrm>
          <a:off x="10576110" y="683561"/>
          <a:ext cx="1797422" cy="504266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200" b="1"/>
            <a:t>Varolan Çalışma Sayfası</a:t>
          </a:r>
          <a:r>
            <a:rPr lang="tr-TR" sz="1200" b="1" baseline="0"/>
            <a:t> </a:t>
          </a:r>
          <a:r>
            <a:rPr lang="tr-TR" sz="1400" b="1" baseline="0"/>
            <a:t>&gt; Hücre Adresi</a:t>
          </a:r>
          <a:endParaRPr lang="tr-TR" sz="1400" b="1"/>
        </a:p>
      </xdr:txBody>
    </xdr:sp>
    <xdr:clientData/>
  </xdr:twoCellAnchor>
  <xdr:twoCellAnchor>
    <xdr:from>
      <xdr:col>14</xdr:col>
      <xdr:colOff>15690</xdr:colOff>
      <xdr:row>7</xdr:row>
      <xdr:rowOff>47070</xdr:rowOff>
    </xdr:from>
    <xdr:to>
      <xdr:col>16</xdr:col>
      <xdr:colOff>596151</xdr:colOff>
      <xdr:row>9</xdr:row>
      <xdr:rowOff>44825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/>
      </xdr:nvSpPr>
      <xdr:spPr>
        <a:xfrm>
          <a:off x="10571631" y="1918452"/>
          <a:ext cx="1790696" cy="53563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400" b="1"/>
            <a:t>Eğitim &gt; Sütunlar</a:t>
          </a:r>
        </a:p>
        <a:p>
          <a:pPr algn="l"/>
          <a:r>
            <a:rPr lang="tr-TR" sz="1400" b="1"/>
            <a:t>Cinsiyet &gt; Filtreler</a:t>
          </a:r>
        </a:p>
        <a:p>
          <a:pPr algn="l"/>
          <a:endParaRPr lang="tr-TR" sz="1400" b="1"/>
        </a:p>
      </xdr:txBody>
    </xdr:sp>
    <xdr:clientData/>
  </xdr:twoCellAnchor>
  <xdr:twoCellAnchor>
    <xdr:from>
      <xdr:col>14</xdr:col>
      <xdr:colOff>0</xdr:colOff>
      <xdr:row>9</xdr:row>
      <xdr:rowOff>235324</xdr:rowOff>
    </xdr:from>
    <xdr:to>
      <xdr:col>16</xdr:col>
      <xdr:colOff>584945</xdr:colOff>
      <xdr:row>15</xdr:row>
      <xdr:rowOff>168089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/>
      </xdr:nvSpPr>
      <xdr:spPr>
        <a:xfrm>
          <a:off x="10555941" y="2644589"/>
          <a:ext cx="1795180" cy="1546412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400" b="1"/>
            <a:t>Değerler : Değer Alanı Ayarları ile Toplam</a:t>
          </a:r>
          <a:r>
            <a:rPr lang="tr-TR" sz="1400" b="1" baseline="0"/>
            <a:t> yerine başka işlem tanımlanabilir ve Etiket tanımı değiştirilebilir</a:t>
          </a:r>
          <a:endParaRPr lang="tr-TR" sz="1400" b="1"/>
        </a:p>
      </xdr:txBody>
    </xdr:sp>
    <xdr:clientData/>
  </xdr:twoCellAnchor>
  <xdr:twoCellAnchor>
    <xdr:from>
      <xdr:col>14</xdr:col>
      <xdr:colOff>8964</xdr:colOff>
      <xdr:row>5</xdr:row>
      <xdr:rowOff>224117</xdr:rowOff>
    </xdr:from>
    <xdr:to>
      <xdr:col>16</xdr:col>
      <xdr:colOff>596151</xdr:colOff>
      <xdr:row>6</xdr:row>
      <xdr:rowOff>257735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SpPr/>
      </xdr:nvSpPr>
      <xdr:spPr>
        <a:xfrm>
          <a:off x="10564905" y="1557617"/>
          <a:ext cx="1797422" cy="30255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1200" b="1">
              <a:solidFill>
                <a:srgbClr val="002060"/>
              </a:solidFill>
            </a:rPr>
            <a:t>Mouse Sağ Klik Menüsü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291354</xdr:colOff>
      <xdr:row>5</xdr:row>
      <xdr:rowOff>194527</xdr:rowOff>
    </xdr:from>
    <xdr:ext cx="3933263" cy="2618149"/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45589" y="2211586"/>
          <a:ext cx="3933263" cy="26181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8</xdr:col>
      <xdr:colOff>65890</xdr:colOff>
      <xdr:row>5</xdr:row>
      <xdr:rowOff>195879</xdr:rowOff>
    </xdr:from>
    <xdr:to>
      <xdr:col>9</xdr:col>
      <xdr:colOff>246977</xdr:colOff>
      <xdr:row>6</xdr:row>
      <xdr:rowOff>214704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366772" y="2212938"/>
          <a:ext cx="1234440" cy="388619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2000" b="1"/>
            <a:t>Ctrl</a:t>
          </a:r>
          <a:r>
            <a:rPr lang="tr-TR" sz="2000" b="1" baseline="0"/>
            <a:t> F</a:t>
          </a:r>
          <a:endParaRPr lang="tr-TR" sz="2000" b="1"/>
        </a:p>
      </xdr:txBody>
    </xdr:sp>
    <xdr:clientData/>
  </xdr:twoCellAnchor>
  <xdr:twoCellAnchor>
    <xdr:from>
      <xdr:col>8</xdr:col>
      <xdr:colOff>61408</xdr:colOff>
      <xdr:row>6</xdr:row>
      <xdr:rowOff>281044</xdr:rowOff>
    </xdr:from>
    <xdr:to>
      <xdr:col>9</xdr:col>
      <xdr:colOff>242495</xdr:colOff>
      <xdr:row>7</xdr:row>
      <xdr:rowOff>299869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9362290" y="2667897"/>
          <a:ext cx="1234440" cy="388619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2000" b="1"/>
            <a:t>Ctrl</a:t>
          </a:r>
          <a:r>
            <a:rPr lang="tr-TR" sz="2000" b="1" baseline="0"/>
            <a:t> H</a:t>
          </a:r>
          <a:endParaRPr lang="tr-TR" sz="2000" b="1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8</xdr:row>
      <xdr:rowOff>236220</xdr:rowOff>
    </xdr:from>
    <xdr:to>
      <xdr:col>16</xdr:col>
      <xdr:colOff>358588</xdr:colOff>
      <xdr:row>11</xdr:row>
      <xdr:rowOff>265436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69825" y="2847191"/>
          <a:ext cx="4056528" cy="836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45720</xdr:rowOff>
    </xdr:from>
    <xdr:to>
      <xdr:col>3</xdr:col>
      <xdr:colOff>30480</xdr:colOff>
      <xdr:row>14</xdr:row>
      <xdr:rowOff>7620</xdr:rowOff>
    </xdr:to>
    <xdr:pic>
      <xdr:nvPicPr>
        <xdr:cNvPr id="3" name="Picture 18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51860"/>
          <a:ext cx="35433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695210</xdr:colOff>
      <xdr:row>17</xdr:row>
      <xdr:rowOff>8069</xdr:rowOff>
    </xdr:from>
    <xdr:to>
      <xdr:col>15</xdr:col>
      <xdr:colOff>67236</xdr:colOff>
      <xdr:row>19</xdr:row>
      <xdr:rowOff>267485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41151" y="5039510"/>
          <a:ext cx="4201761" cy="7972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99061</xdr:colOff>
      <xdr:row>4</xdr:row>
      <xdr:rowOff>44823</xdr:rowOff>
    </xdr:from>
    <xdr:to>
      <xdr:col>7</xdr:col>
      <xdr:colOff>717177</xdr:colOff>
      <xdr:row>7</xdr:row>
      <xdr:rowOff>257735</xdr:rowOff>
    </xdr:to>
    <xdr:pic>
      <xdr:nvPicPr>
        <xdr:cNvPr id="5" name="Picture 11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16855" y="1580029"/>
          <a:ext cx="3946263" cy="1019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33616</xdr:colOff>
      <xdr:row>12</xdr:row>
      <xdr:rowOff>242944</xdr:rowOff>
    </xdr:from>
    <xdr:to>
      <xdr:col>15</xdr:col>
      <xdr:colOff>1916206</xdr:colOff>
      <xdr:row>15</xdr:row>
      <xdr:rowOff>252040</xdr:rowOff>
    </xdr:to>
    <xdr:pic>
      <xdr:nvPicPr>
        <xdr:cNvPr id="6" name="Picture 10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56910" y="3929679"/>
          <a:ext cx="4134972" cy="815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1569720</xdr:colOff>
      <xdr:row>9</xdr:row>
      <xdr:rowOff>68580</xdr:rowOff>
    </xdr:from>
    <xdr:to>
      <xdr:col>9</xdr:col>
      <xdr:colOff>1359610</xdr:colOff>
      <xdr:row>11</xdr:row>
      <xdr:rowOff>220980</xdr:rowOff>
    </xdr:to>
    <xdr:pic>
      <xdr:nvPicPr>
        <xdr:cNvPr id="7" name="Picture 8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6840" y="2941320"/>
          <a:ext cx="397002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895</xdr:colOff>
      <xdr:row>10</xdr:row>
      <xdr:rowOff>23197</xdr:rowOff>
    </xdr:from>
    <xdr:to>
      <xdr:col>13</xdr:col>
      <xdr:colOff>526676</xdr:colOff>
      <xdr:row>23</xdr:row>
      <xdr:rowOff>197858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57689" y="3093609"/>
          <a:ext cx="4548693" cy="44553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26446</xdr:colOff>
      <xdr:row>5</xdr:row>
      <xdr:rowOff>27789</xdr:rowOff>
    </xdr:from>
    <xdr:to>
      <xdr:col>11</xdr:col>
      <xdr:colOff>773205</xdr:colOff>
      <xdr:row>9</xdr:row>
      <xdr:rowOff>179294</xdr:rowOff>
    </xdr:to>
    <xdr:sp macro="" textlink="">
      <xdr:nvSpPr>
        <xdr:cNvPr id="6" name="Dikdörtgen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10728064" y="1630230"/>
          <a:ext cx="1900965" cy="126088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600" b="1"/>
            <a:t>Menüdeki Yeri : </a:t>
          </a:r>
        </a:p>
        <a:p>
          <a:pPr algn="l"/>
          <a:r>
            <a:rPr lang="tr-TR" sz="1600" b="1"/>
            <a:t>Veri &gt; </a:t>
          </a:r>
        </a:p>
        <a:p>
          <a:pPr algn="l"/>
          <a:r>
            <a:rPr lang="tr-TR" sz="1600" b="1"/>
            <a:t>Veri Araçları &gt; </a:t>
          </a:r>
        </a:p>
        <a:p>
          <a:pPr algn="l"/>
          <a:r>
            <a:rPr lang="tr-TR" sz="1600" b="1"/>
            <a:t>Veri Doğrulama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941966</xdr:colOff>
      <xdr:row>16</xdr:row>
      <xdr:rowOff>218575</xdr:rowOff>
    </xdr:from>
    <xdr:ext cx="4294544" cy="733924"/>
    <xdr:pic>
      <xdr:nvPicPr>
        <xdr:cNvPr id="2" name="Picture 9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2348" y="4409575"/>
          <a:ext cx="4294544" cy="733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8</xdr:col>
      <xdr:colOff>89649</xdr:colOff>
      <xdr:row>19</xdr:row>
      <xdr:rowOff>117027</xdr:rowOff>
    </xdr:from>
    <xdr:to>
      <xdr:col>12</xdr:col>
      <xdr:colOff>280149</xdr:colOff>
      <xdr:row>22</xdr:row>
      <xdr:rowOff>231286</xdr:rowOff>
    </xdr:to>
    <xdr:pic>
      <xdr:nvPicPr>
        <xdr:cNvPr id="3" name="Picture 34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2" y="5081233"/>
          <a:ext cx="4986618" cy="876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100853</xdr:colOff>
      <xdr:row>1</xdr:row>
      <xdr:rowOff>112058</xdr:rowOff>
    </xdr:from>
    <xdr:to>
      <xdr:col>15</xdr:col>
      <xdr:colOff>600755</xdr:colOff>
      <xdr:row>1</xdr:row>
      <xdr:rowOff>112060</xdr:rowOff>
    </xdr:to>
    <xdr:cxnSp macro="">
      <xdr:nvCxnSpPr>
        <xdr:cNvPr id="4" name="Düz Ok Bağlayıcısı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CxnSpPr/>
      </xdr:nvCxnSpPr>
      <xdr:spPr>
        <a:xfrm>
          <a:off x="14153029" y="437029"/>
          <a:ext cx="611961" cy="2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885266</xdr:colOff>
      <xdr:row>17</xdr:row>
      <xdr:rowOff>22412</xdr:rowOff>
    </xdr:from>
    <xdr:to>
      <xdr:col>9</xdr:col>
      <xdr:colOff>818031</xdr:colOff>
      <xdr:row>19</xdr:row>
      <xdr:rowOff>211786</xdr:rowOff>
    </xdr:to>
    <xdr:pic>
      <xdr:nvPicPr>
        <xdr:cNvPr id="5" name="Picture 16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9707" y="4471147"/>
          <a:ext cx="2868706" cy="7048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513678</xdr:colOff>
      <xdr:row>5</xdr:row>
      <xdr:rowOff>268941</xdr:rowOff>
    </xdr:from>
    <xdr:to>
      <xdr:col>13</xdr:col>
      <xdr:colOff>313765</xdr:colOff>
      <xdr:row>7</xdr:row>
      <xdr:rowOff>212912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5690796" y="1669676"/>
          <a:ext cx="1682675" cy="50426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200" b="1">
              <a:latin typeface="+mn-lt"/>
            </a:rPr>
            <a:t>Dosyanın kaydedileceği klasör</a:t>
          </a:r>
          <a:r>
            <a:rPr lang="tr-TR" sz="1200" b="1" baseline="0">
              <a:latin typeface="+mn-lt"/>
            </a:rPr>
            <a:t> adresi</a:t>
          </a:r>
          <a:endParaRPr lang="tr-TR" sz="1400" b="1">
            <a:latin typeface="+mn-lt"/>
          </a:endParaRPr>
        </a:p>
      </xdr:txBody>
    </xdr:sp>
    <xdr:clientData/>
  </xdr:twoCellAnchor>
  <xdr:twoCellAnchor>
    <xdr:from>
      <xdr:col>13</xdr:col>
      <xdr:colOff>319592</xdr:colOff>
      <xdr:row>6</xdr:row>
      <xdr:rowOff>12550</xdr:rowOff>
    </xdr:from>
    <xdr:to>
      <xdr:col>16</xdr:col>
      <xdr:colOff>1</xdr:colOff>
      <xdr:row>7</xdr:row>
      <xdr:rowOff>212912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7379298" y="1693432"/>
          <a:ext cx="1562997" cy="480509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200" b="1">
              <a:solidFill>
                <a:schemeClr val="lt1"/>
              </a:solidFill>
              <a:latin typeface="+mn-lt"/>
              <a:ea typeface="+mn-ea"/>
              <a:cs typeface="+mn-cs"/>
            </a:rPr>
            <a:t>Yedeklenen</a:t>
          </a:r>
          <a:r>
            <a:rPr lang="tr-TR" sz="1200" b="1">
              <a:latin typeface="+mn-lt"/>
            </a:rPr>
            <a:t> Dosyanın</a:t>
          </a:r>
          <a:r>
            <a:rPr lang="tr-TR" sz="1200" b="1" baseline="0">
              <a:latin typeface="+mn-lt"/>
            </a:rPr>
            <a:t> adı ve uzantısı</a:t>
          </a:r>
          <a:endParaRPr lang="tr-TR" sz="1200" b="1">
            <a:latin typeface="+mn-lt"/>
          </a:endParaRPr>
        </a:p>
      </xdr:txBody>
    </xdr:sp>
    <xdr:clientData/>
  </xdr:twoCellAnchor>
  <xdr:twoCellAnchor>
    <xdr:from>
      <xdr:col>10</xdr:col>
      <xdr:colOff>112057</xdr:colOff>
      <xdr:row>17</xdr:row>
      <xdr:rowOff>246531</xdr:rowOff>
    </xdr:from>
    <xdr:to>
      <xdr:col>13</xdr:col>
      <xdr:colOff>616772</xdr:colOff>
      <xdr:row>19</xdr:row>
      <xdr:rowOff>44824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5289175" y="5009031"/>
          <a:ext cx="2387303" cy="35858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400" b="1"/>
            <a:t>Dosya</a:t>
          </a:r>
          <a:r>
            <a:rPr lang="tr-TR" sz="1400" b="1" baseline="0"/>
            <a:t> Açılış Sayfasının tanımı</a:t>
          </a:r>
          <a:endParaRPr lang="tr-TR" sz="1400" b="1"/>
        </a:p>
      </xdr:txBody>
    </xdr:sp>
    <xdr:clientData/>
  </xdr:twoCellAnchor>
  <xdr:twoCellAnchor editAs="oneCell">
    <xdr:from>
      <xdr:col>19</xdr:col>
      <xdr:colOff>294491</xdr:colOff>
      <xdr:row>0</xdr:row>
      <xdr:rowOff>89647</xdr:rowOff>
    </xdr:from>
    <xdr:to>
      <xdr:col>25</xdr:col>
      <xdr:colOff>312419</xdr:colOff>
      <xdr:row>6</xdr:row>
      <xdr:rowOff>97267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98667" y="89647"/>
          <a:ext cx="3312458" cy="16885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345.678689699074" createdVersion="6" refreshedVersion="6" minRefreshableVersion="3" recordCount="20" xr:uid="{00000000-000A-0000-FFFF-FFFF0A000000}">
  <cacheSource type="worksheet">
    <worksheetSource ref="D1:G21" sheet="OZET_TABLO"/>
  </cacheSource>
  <cacheFields count="4">
    <cacheField name="Bölüm" numFmtId="164">
      <sharedItems count="5">
        <s v="İK"/>
        <s v="Üretim"/>
        <s v="Depo"/>
        <s v="Muhasebe"/>
        <s v="Satış"/>
      </sharedItems>
    </cacheField>
    <cacheField name="Cinsiyet" numFmtId="164">
      <sharedItems count="2">
        <s v="Erkek"/>
        <s v="Kadın"/>
      </sharedItems>
    </cacheField>
    <cacheField name="Eğitim" numFmtId="3">
      <sharedItems count="3">
        <s v="Üniversite"/>
        <s v="Lise"/>
        <s v="MYO"/>
      </sharedItems>
    </cacheField>
    <cacheField name="Maaş" numFmtId="3">
      <sharedItems containsSemiMixedTypes="0" containsString="0" containsNumber="1" containsInteger="1" minValue="50" maxValue="10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">
  <r>
    <x v="0"/>
    <x v="0"/>
    <x v="0"/>
    <n v="50"/>
  </r>
  <r>
    <x v="1"/>
    <x v="0"/>
    <x v="1"/>
    <n v="100"/>
  </r>
  <r>
    <x v="2"/>
    <x v="1"/>
    <x v="1"/>
    <n v="80"/>
  </r>
  <r>
    <x v="0"/>
    <x v="0"/>
    <x v="2"/>
    <n v="60"/>
  </r>
  <r>
    <x v="1"/>
    <x v="0"/>
    <x v="0"/>
    <n v="50"/>
  </r>
  <r>
    <x v="3"/>
    <x v="1"/>
    <x v="2"/>
    <n v="70"/>
  </r>
  <r>
    <x v="1"/>
    <x v="0"/>
    <x v="0"/>
    <n v="100"/>
  </r>
  <r>
    <x v="2"/>
    <x v="1"/>
    <x v="1"/>
    <n v="90"/>
  </r>
  <r>
    <x v="1"/>
    <x v="1"/>
    <x v="1"/>
    <n v="1050"/>
  </r>
  <r>
    <x v="2"/>
    <x v="0"/>
    <x v="0"/>
    <n v="100"/>
  </r>
  <r>
    <x v="2"/>
    <x v="0"/>
    <x v="1"/>
    <n v="60"/>
  </r>
  <r>
    <x v="1"/>
    <x v="0"/>
    <x v="1"/>
    <n v="70"/>
  </r>
  <r>
    <x v="1"/>
    <x v="1"/>
    <x v="2"/>
    <n v="100"/>
  </r>
  <r>
    <x v="3"/>
    <x v="1"/>
    <x v="0"/>
    <n v="80"/>
  </r>
  <r>
    <x v="1"/>
    <x v="1"/>
    <x v="1"/>
    <n v="90"/>
  </r>
  <r>
    <x v="4"/>
    <x v="0"/>
    <x v="0"/>
    <n v="70"/>
  </r>
  <r>
    <x v="2"/>
    <x v="1"/>
    <x v="2"/>
    <n v="50"/>
  </r>
  <r>
    <x v="0"/>
    <x v="1"/>
    <x v="0"/>
    <n v="100"/>
  </r>
  <r>
    <x v="4"/>
    <x v="1"/>
    <x v="0"/>
    <n v="70"/>
  </r>
  <r>
    <x v="4"/>
    <x v="0"/>
    <x v="2"/>
    <n v="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300-000000000000}" name="PivotTable1" cacheId="0" applyNumberFormats="0" applyBorderFormats="0" applyFontFormats="0" applyPatternFormats="0" applyAlignmentFormats="0" applyWidthHeightFormats="1" dataCaption="Değerler" updatedVersion="6" minRefreshableVersion="3" useAutoFormatting="1" itemPrintTitles="1" createdVersion="6" indent="0" outline="1" outlineData="1" multipleFieldFilters="0">
  <location ref="I3:M10" firstHeaderRow="1" firstDataRow="2" firstDataCol="1" rowPageCount="1" colPageCount="1"/>
  <pivotFields count="4">
    <pivotField axis="axisRow" showAll="0">
      <items count="6">
        <item x="2"/>
        <item x="0"/>
        <item x="3"/>
        <item x="4"/>
        <item x="1"/>
        <item t="default"/>
      </items>
    </pivotField>
    <pivotField axis="axisPage" showAll="0">
      <items count="3">
        <item x="0"/>
        <item x="1"/>
        <item t="default"/>
      </items>
    </pivotField>
    <pivotField axis="axisCol" showAll="0">
      <items count="4">
        <item x="1"/>
        <item x="2"/>
        <item x="0"/>
        <item t="default"/>
      </items>
    </pivotField>
    <pivotField dataField="1" numFmtId="3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pageFields count="1">
    <pageField fld="1" hier="-1"/>
  </pageFields>
  <dataFields count="1">
    <dataField name="Toplam Maaş" fld="3" baseField="0" baseItem="2" numFmtId="3"/>
  </dataFields>
  <formats count="105">
    <format dxfId="109">
      <pivotArea type="all" dataOnly="0" outline="0" fieldPosition="0"/>
    </format>
    <format dxfId="108">
      <pivotArea outline="0" collapsedLevelsAreSubtotals="1" fieldPosition="0"/>
    </format>
    <format dxfId="107">
      <pivotArea type="origin" dataOnly="0" labelOnly="1" outline="0" fieldPosition="0"/>
    </format>
    <format dxfId="106">
      <pivotArea field="2" type="button" dataOnly="0" labelOnly="1" outline="0" axis="axisCol" fieldPosition="0"/>
    </format>
    <format dxfId="105">
      <pivotArea type="topRight" dataOnly="0" labelOnly="1" outline="0" fieldPosition="0"/>
    </format>
    <format dxfId="104">
      <pivotArea field="0" type="button" dataOnly="0" labelOnly="1" outline="0" axis="axisRow" fieldPosition="0"/>
    </format>
    <format dxfId="103">
      <pivotArea dataOnly="0" labelOnly="1" fieldPosition="0">
        <references count="1">
          <reference field="0" count="0"/>
        </references>
      </pivotArea>
    </format>
    <format dxfId="102">
      <pivotArea dataOnly="0" labelOnly="1" grandRow="1" outline="0" fieldPosition="0"/>
    </format>
    <format dxfId="101">
      <pivotArea dataOnly="0" labelOnly="1" fieldPosition="0">
        <references count="1">
          <reference field="2" count="0"/>
        </references>
      </pivotArea>
    </format>
    <format dxfId="100">
      <pivotArea dataOnly="0" labelOnly="1" grandCol="1" outline="0" fieldPosition="0"/>
    </format>
    <format dxfId="99">
      <pivotArea type="all" dataOnly="0" outline="0" fieldPosition="0"/>
    </format>
    <format dxfId="98">
      <pivotArea outline="0" collapsedLevelsAreSubtotals="1" fieldPosition="0"/>
    </format>
    <format dxfId="97">
      <pivotArea type="origin" dataOnly="0" labelOnly="1" outline="0" fieldPosition="0"/>
    </format>
    <format dxfId="96">
      <pivotArea field="2" type="button" dataOnly="0" labelOnly="1" outline="0" axis="axisCol" fieldPosition="0"/>
    </format>
    <format dxfId="95">
      <pivotArea type="topRight" dataOnly="0" labelOnly="1" outline="0" fieldPosition="0"/>
    </format>
    <format dxfId="94">
      <pivotArea field="0" type="button" dataOnly="0" labelOnly="1" outline="0" axis="axisRow" fieldPosition="0"/>
    </format>
    <format dxfId="93">
      <pivotArea dataOnly="0" labelOnly="1" fieldPosition="0">
        <references count="1">
          <reference field="0" count="0"/>
        </references>
      </pivotArea>
    </format>
    <format dxfId="92">
      <pivotArea dataOnly="0" labelOnly="1" grandRow="1" outline="0" fieldPosition="0"/>
    </format>
    <format dxfId="91">
      <pivotArea dataOnly="0" labelOnly="1" fieldPosition="0">
        <references count="1">
          <reference field="2" count="0"/>
        </references>
      </pivotArea>
    </format>
    <format dxfId="90">
      <pivotArea dataOnly="0" labelOnly="1" grandCol="1" outline="0" fieldPosition="0"/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type="origin" dataOnly="0" labelOnly="1" outline="0" fieldPosition="0"/>
    </format>
    <format dxfId="86">
      <pivotArea field="2" type="button" dataOnly="0" labelOnly="1" outline="0" axis="axisCol" fieldPosition="0"/>
    </format>
    <format dxfId="85">
      <pivotArea type="topRight" dataOnly="0" labelOnly="1" outline="0" fieldPosition="0"/>
    </format>
    <format dxfId="84">
      <pivotArea field="0" type="button" dataOnly="0" labelOnly="1" outline="0" axis="axisRow" fieldPosition="0"/>
    </format>
    <format dxfId="83">
      <pivotArea dataOnly="0" labelOnly="1" fieldPosition="0">
        <references count="1">
          <reference field="0" count="0"/>
        </references>
      </pivotArea>
    </format>
    <format dxfId="82">
      <pivotArea dataOnly="0" labelOnly="1" grandRow="1" outline="0" fieldPosition="0"/>
    </format>
    <format dxfId="81">
      <pivotArea dataOnly="0" labelOnly="1" fieldPosition="0">
        <references count="1">
          <reference field="2" count="0"/>
        </references>
      </pivotArea>
    </format>
    <format dxfId="80">
      <pivotArea dataOnly="0" labelOnly="1" grandCol="1" outline="0" fieldPosition="0"/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type="origin" dataOnly="0" labelOnly="1" outline="0" fieldPosition="0"/>
    </format>
    <format dxfId="76">
      <pivotArea field="2" type="button" dataOnly="0" labelOnly="1" outline="0" axis="axisCol" fieldPosition="0"/>
    </format>
    <format dxfId="75">
      <pivotArea type="topRight" dataOnly="0" labelOnly="1" outline="0" fieldPosition="0"/>
    </format>
    <format dxfId="74">
      <pivotArea field="0" type="button" dataOnly="0" labelOnly="1" outline="0" axis="axisRow" fieldPosition="0"/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grandRow="1" outline="0" fieldPosition="0"/>
    </format>
    <format dxfId="71">
      <pivotArea dataOnly="0" labelOnly="1" fieldPosition="0">
        <references count="1">
          <reference field="2" count="0"/>
        </references>
      </pivotArea>
    </format>
    <format dxfId="70">
      <pivotArea dataOnly="0" labelOnly="1" grandCol="1" outline="0" fieldPosition="0"/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type="origin" dataOnly="0" labelOnly="1" outline="0" fieldPosition="0"/>
    </format>
    <format dxfId="66">
      <pivotArea field="2" type="button" dataOnly="0" labelOnly="1" outline="0" axis="axisCol" fieldPosition="0"/>
    </format>
    <format dxfId="65">
      <pivotArea type="topRight" dataOnly="0" labelOnly="1" outline="0" fieldPosition="0"/>
    </format>
    <format dxfId="64">
      <pivotArea field="0" type="button" dataOnly="0" labelOnly="1" outline="0" axis="axisRow" fieldPosition="0"/>
    </format>
    <format dxfId="63">
      <pivotArea dataOnly="0" labelOnly="1" fieldPosition="0">
        <references count="1">
          <reference field="0" count="0"/>
        </references>
      </pivotArea>
    </format>
    <format dxfId="62">
      <pivotArea dataOnly="0" labelOnly="1" grandRow="1" outline="0" fieldPosition="0"/>
    </format>
    <format dxfId="61">
      <pivotArea dataOnly="0" labelOnly="1" fieldPosition="0">
        <references count="1">
          <reference field="2" count="0"/>
        </references>
      </pivotArea>
    </format>
    <format dxfId="60">
      <pivotArea dataOnly="0" labelOnly="1" grandCol="1" outline="0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type="origin" dataOnly="0" labelOnly="1" outline="0" fieldPosition="0"/>
    </format>
    <format dxfId="56">
      <pivotArea field="2" type="button" dataOnly="0" labelOnly="1" outline="0" axis="axisCol" fieldPosition="0"/>
    </format>
    <format dxfId="55">
      <pivotArea type="topRight" dataOnly="0" labelOnly="1" outline="0" fieldPosition="0"/>
    </format>
    <format dxfId="54">
      <pivotArea field="0" type="button" dataOnly="0" labelOnly="1" outline="0" axis="axisRow" fieldPosition="0"/>
    </format>
    <format dxfId="53">
      <pivotArea dataOnly="0" labelOnly="1" fieldPosition="0">
        <references count="1">
          <reference field="0" count="0"/>
        </references>
      </pivotArea>
    </format>
    <format dxfId="52">
      <pivotArea dataOnly="0" labelOnly="1" grandRow="1" outline="0" fieldPosition="0"/>
    </format>
    <format dxfId="51">
      <pivotArea dataOnly="0" labelOnly="1" fieldPosition="0">
        <references count="1">
          <reference field="2" count="0"/>
        </references>
      </pivotArea>
    </format>
    <format dxfId="50">
      <pivotArea dataOnly="0" labelOnly="1" grandCol="1" outline="0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type="origin" dataOnly="0" labelOnly="1" outline="0" fieldPosition="0"/>
    </format>
    <format dxfId="46">
      <pivotArea field="2" type="button" dataOnly="0" labelOnly="1" outline="0" axis="axisCol" fieldPosition="0"/>
    </format>
    <format dxfId="45">
      <pivotArea type="topRight" dataOnly="0" labelOnly="1" outline="0" fieldPosition="0"/>
    </format>
    <format dxfId="44">
      <pivotArea field="0" type="button" dataOnly="0" labelOnly="1" outline="0" axis="axisRow" fieldPosition="0"/>
    </format>
    <format dxfId="43">
      <pivotArea dataOnly="0" labelOnly="1" fieldPosition="0">
        <references count="1">
          <reference field="0" count="0"/>
        </references>
      </pivotArea>
    </format>
    <format dxfId="42">
      <pivotArea dataOnly="0" labelOnly="1" grandRow="1" outline="0" fieldPosition="0"/>
    </format>
    <format dxfId="41">
      <pivotArea dataOnly="0" labelOnly="1" fieldPosition="0">
        <references count="1">
          <reference field="2" count="0"/>
        </references>
      </pivotArea>
    </format>
    <format dxfId="40">
      <pivotArea dataOnly="0" labelOnly="1" grandCol="1" outline="0" fieldPosition="0"/>
    </format>
    <format dxfId="39">
      <pivotArea type="all" dataOnly="0" outline="0" fieldPosition="0"/>
    </format>
    <format dxfId="38">
      <pivotArea outline="0" collapsedLevelsAreSubtotals="1" fieldPosition="0"/>
    </format>
    <format dxfId="37">
      <pivotArea type="origin" dataOnly="0" labelOnly="1" outline="0" fieldPosition="0"/>
    </format>
    <format dxfId="36">
      <pivotArea field="2" type="button" dataOnly="0" labelOnly="1" outline="0" axis="axisCol" fieldPosition="0"/>
    </format>
    <format dxfId="35">
      <pivotArea type="topRight" dataOnly="0" labelOnly="1" outline="0" fieldPosition="0"/>
    </format>
    <format dxfId="34">
      <pivotArea field="0" type="button" dataOnly="0" labelOnly="1" outline="0" axis="axisRow" fieldPosition="0"/>
    </format>
    <format dxfId="33">
      <pivotArea dataOnly="0" labelOnly="1" fieldPosition="0">
        <references count="1">
          <reference field="0" count="0"/>
        </references>
      </pivotArea>
    </format>
    <format dxfId="32">
      <pivotArea dataOnly="0" labelOnly="1" grandRow="1" outline="0" fieldPosition="0"/>
    </format>
    <format dxfId="31">
      <pivotArea dataOnly="0" labelOnly="1" fieldPosition="0">
        <references count="1">
          <reference field="2" count="0"/>
        </references>
      </pivotArea>
    </format>
    <format dxfId="30">
      <pivotArea dataOnly="0" labelOnly="1" grandCol="1" outline="0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type="origin" dataOnly="0" labelOnly="1" outline="0" fieldPosition="0"/>
    </format>
    <format dxfId="26">
      <pivotArea field="2" type="button" dataOnly="0" labelOnly="1" outline="0" axis="axisCol" fieldPosition="0"/>
    </format>
    <format dxfId="25">
      <pivotArea type="topRight" dataOnly="0" labelOnly="1" outline="0" fieldPosition="0"/>
    </format>
    <format dxfId="24">
      <pivotArea field="0" type="button" dataOnly="0" labelOnly="1" outline="0" axis="axisRow" fieldPosition="0"/>
    </format>
    <format dxfId="23">
      <pivotArea dataOnly="0" labelOnly="1" fieldPosition="0">
        <references count="1">
          <reference field="0" count="0"/>
        </references>
      </pivotArea>
    </format>
    <format dxfId="22">
      <pivotArea dataOnly="0" labelOnly="1" grandRow="1" outline="0" fieldPosition="0"/>
    </format>
    <format dxfId="21">
      <pivotArea dataOnly="0" labelOnly="1" fieldPosition="0">
        <references count="1">
          <reference field="2" count="0"/>
        </references>
      </pivotArea>
    </format>
    <format dxfId="20">
      <pivotArea dataOnly="0" labelOnly="1" grandCol="1" outline="0" fieldPosition="0"/>
    </format>
    <format dxfId="19">
      <pivotArea outline="0" collapsedLevelsAreSubtotals="1" fieldPosition="0"/>
    </format>
    <format dxfId="18">
      <pivotArea field="0" type="button" dataOnly="0" labelOnly="1" outline="0" axis="axisRow" fieldPosition="0"/>
    </format>
    <format dxfId="17">
      <pivotArea dataOnly="0" labelOnly="1" fieldPosition="0">
        <references count="1">
          <reference field="0" count="0"/>
        </references>
      </pivotArea>
    </format>
    <format dxfId="16">
      <pivotArea dataOnly="0" labelOnly="1" grandRow="1" outline="0" fieldPosition="0"/>
    </format>
    <format dxfId="15">
      <pivotArea dataOnly="0" labelOnly="1" fieldPosition="0">
        <references count="1">
          <reference field="2" count="0"/>
        </references>
      </pivotArea>
    </format>
    <format dxfId="14">
      <pivotArea dataOnly="0" labelOnly="1" grandCol="1" outline="0" fieldPosition="0"/>
    </format>
    <format dxfId="13">
      <pivotArea field="0" type="button" dataOnly="0" labelOnly="1" outline="0" axis="axisRow" fieldPosition="0"/>
    </format>
    <format dxfId="12">
      <pivotArea dataOnly="0" labelOnly="1" fieldPosition="0">
        <references count="1">
          <reference field="2" count="0"/>
        </references>
      </pivotArea>
    </format>
    <format dxfId="11">
      <pivotArea dataOnly="0" labelOnly="1" grandCol="1" outline="0" fieldPosition="0"/>
    </format>
    <format dxfId="10">
      <pivotArea outline="0" collapsedLevelsAreSubtotals="1" fieldPosition="0"/>
    </format>
    <format dxfId="9">
      <pivotArea collapsedLevelsAreSubtotals="1" fieldPosition="0">
        <references count="1">
          <reference field="0" count="1">
            <x v="1"/>
          </reference>
        </references>
      </pivotArea>
    </format>
    <format dxfId="8">
      <pivotArea dataOnly="0" labelOnly="1" fieldPosition="0">
        <references count="1">
          <reference field="0" count="1">
            <x v="1"/>
          </reference>
        </references>
      </pivotArea>
    </format>
    <format dxfId="7">
      <pivotArea collapsedLevelsAreSubtotals="1" fieldPosition="0">
        <references count="1">
          <reference field="0" count="1">
            <x v="3"/>
          </reference>
        </references>
      </pivotArea>
    </format>
    <format dxfId="6">
      <pivotArea dataOnly="0" labelOnly="1" fieldPosition="0">
        <references count="1">
          <reference field="0" count="1">
            <x v="3"/>
          </reference>
        </references>
      </pivotArea>
    </format>
    <format dxfId="5">
      <pivotArea field="0" grandCol="1" collapsedLevelsAreSubtotals="1" axis="axisRow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F29"/>
  <sheetViews>
    <sheetView zoomScale="85" zoomScaleNormal="85" workbookViewId="0">
      <selection activeCell="C13" sqref="C13"/>
    </sheetView>
  </sheetViews>
  <sheetFormatPr defaultColWidth="8.85546875" defaultRowHeight="31.9" customHeight="1" x14ac:dyDescent="0.25"/>
  <cols>
    <col min="1" max="1" width="86.7109375" style="53" customWidth="1"/>
    <col min="2" max="2" width="1.7109375" style="3" customWidth="1"/>
    <col min="3" max="3" width="86.7109375" style="3" customWidth="1"/>
    <col min="4" max="4" width="2" style="3" customWidth="1"/>
    <col min="5" max="5" width="16.140625" style="3" customWidth="1"/>
    <col min="6" max="6" width="27.28515625" style="3" customWidth="1"/>
    <col min="7" max="16384" width="8.85546875" style="3"/>
  </cols>
  <sheetData>
    <row r="1" spans="1:6" ht="44.45" customHeight="1" x14ac:dyDescent="0.25">
      <c r="A1" s="627" t="s">
        <v>608</v>
      </c>
      <c r="B1" s="627"/>
      <c r="C1" s="627"/>
      <c r="D1" s="175"/>
      <c r="E1" s="481" t="s">
        <v>497</v>
      </c>
      <c r="F1" s="481" t="s">
        <v>781</v>
      </c>
    </row>
    <row r="2" spans="1:6" ht="30.6" customHeight="1" x14ac:dyDescent="0.25">
      <c r="A2" s="198" t="s">
        <v>456</v>
      </c>
      <c r="B2" s="45"/>
      <c r="C2" s="109" t="s">
        <v>477</v>
      </c>
      <c r="D2" s="175"/>
      <c r="E2" s="597" t="s">
        <v>456</v>
      </c>
      <c r="F2" s="513"/>
    </row>
    <row r="3" spans="1:6" ht="30.6" customHeight="1" x14ac:dyDescent="0.25">
      <c r="A3" s="109" t="s">
        <v>685</v>
      </c>
      <c r="B3" s="45"/>
      <c r="C3" s="198" t="s">
        <v>398</v>
      </c>
      <c r="D3" s="175"/>
      <c r="E3" s="597" t="s">
        <v>685</v>
      </c>
      <c r="F3" s="513"/>
    </row>
    <row r="4" spans="1:6" ht="30.6" customHeight="1" x14ac:dyDescent="0.25">
      <c r="A4" s="198" t="s">
        <v>686</v>
      </c>
      <c r="B4" s="45"/>
      <c r="C4" s="109" t="s">
        <v>547</v>
      </c>
      <c r="D4" s="175"/>
      <c r="E4" s="597" t="s">
        <v>686</v>
      </c>
      <c r="F4" s="513"/>
    </row>
    <row r="5" spans="1:6" ht="30.6" customHeight="1" x14ac:dyDescent="0.25">
      <c r="A5" s="109" t="s">
        <v>450</v>
      </c>
      <c r="B5" s="45"/>
      <c r="C5" s="198" t="s">
        <v>548</v>
      </c>
      <c r="D5" s="175"/>
      <c r="E5" s="597" t="s">
        <v>607</v>
      </c>
      <c r="F5" s="513"/>
    </row>
    <row r="6" spans="1:6" ht="30.6" customHeight="1" x14ac:dyDescent="0.25">
      <c r="A6" s="198" t="s">
        <v>571</v>
      </c>
      <c r="B6" s="45"/>
      <c r="C6" s="109" t="s">
        <v>448</v>
      </c>
      <c r="D6" s="175"/>
      <c r="E6" s="597" t="s">
        <v>492</v>
      </c>
      <c r="F6" s="513"/>
    </row>
    <row r="7" spans="1:6" ht="30.6" customHeight="1" x14ac:dyDescent="0.25">
      <c r="A7" s="109" t="s">
        <v>687</v>
      </c>
      <c r="B7" s="45"/>
      <c r="C7" s="198" t="s">
        <v>449</v>
      </c>
      <c r="D7" s="175"/>
      <c r="E7" s="597" t="s">
        <v>571</v>
      </c>
      <c r="F7" s="513"/>
    </row>
    <row r="8" spans="1:6" ht="30.6" customHeight="1" x14ac:dyDescent="0.25">
      <c r="A8" s="198" t="s">
        <v>70</v>
      </c>
      <c r="B8" s="45"/>
      <c r="C8" s="109" t="s">
        <v>607</v>
      </c>
      <c r="D8" s="175"/>
      <c r="E8" s="597" t="s">
        <v>473</v>
      </c>
      <c r="F8" s="513"/>
    </row>
    <row r="9" spans="1:6" ht="30.6" customHeight="1" x14ac:dyDescent="0.25">
      <c r="A9" s="109" t="s">
        <v>473</v>
      </c>
      <c r="B9" s="45"/>
      <c r="C9" s="198" t="s">
        <v>492</v>
      </c>
      <c r="D9" s="175"/>
      <c r="E9" s="597" t="s">
        <v>62</v>
      </c>
      <c r="F9" s="513"/>
    </row>
    <row r="10" spans="1:6" ht="30.6" customHeight="1" x14ac:dyDescent="0.25">
      <c r="A10" s="198" t="s">
        <v>323</v>
      </c>
      <c r="B10" s="45"/>
      <c r="C10" s="109" t="s">
        <v>557</v>
      </c>
      <c r="D10" s="175"/>
      <c r="E10" s="597" t="s">
        <v>448</v>
      </c>
      <c r="F10" s="513"/>
    </row>
    <row r="11" spans="1:6" ht="30.6" customHeight="1" x14ac:dyDescent="0.25">
      <c r="A11" s="109" t="s">
        <v>324</v>
      </c>
      <c r="B11" s="45"/>
      <c r="C11" s="198" t="s">
        <v>523</v>
      </c>
      <c r="D11" s="175"/>
      <c r="E11" s="482"/>
      <c r="F11" s="513"/>
    </row>
    <row r="12" spans="1:6" ht="30.6" customHeight="1" x14ac:dyDescent="0.25">
      <c r="A12" s="198" t="s">
        <v>62</v>
      </c>
      <c r="B12" s="45"/>
      <c r="C12" s="109" t="s">
        <v>784</v>
      </c>
      <c r="D12" s="175"/>
      <c r="E12" s="482"/>
      <c r="F12" s="513"/>
    </row>
    <row r="13" spans="1:6" ht="30.6" customHeight="1" x14ac:dyDescent="0.25">
      <c r="A13" s="109" t="s">
        <v>546</v>
      </c>
      <c r="B13" s="45"/>
      <c r="C13" s="198" t="s">
        <v>549</v>
      </c>
      <c r="D13" s="175"/>
      <c r="E13" s="482"/>
      <c r="F13" s="513"/>
    </row>
    <row r="14" spans="1:6" ht="22.15" customHeight="1" x14ac:dyDescent="0.25">
      <c r="A14" s="3"/>
      <c r="B14" s="45"/>
      <c r="D14" s="175"/>
      <c r="E14" s="175"/>
      <c r="F14" s="175"/>
    </row>
    <row r="15" spans="1:6" ht="22.15" customHeight="1" x14ac:dyDescent="0.25">
      <c r="B15" s="45"/>
      <c r="D15" s="175"/>
      <c r="E15" s="175"/>
      <c r="F15" s="175"/>
    </row>
    <row r="16" spans="1:6" ht="22.15" customHeight="1" x14ac:dyDescent="0.25">
      <c r="A16" s="3"/>
    </row>
    <row r="17" spans="1:1" ht="22.15" customHeight="1" x14ac:dyDescent="0.25"/>
    <row r="18" spans="1:1" ht="22.15" customHeight="1" x14ac:dyDescent="0.25"/>
    <row r="19" spans="1:1" ht="22.15" customHeight="1" x14ac:dyDescent="0.25"/>
    <row r="20" spans="1:1" ht="22.15" customHeight="1" x14ac:dyDescent="0.25"/>
    <row r="21" spans="1:1" ht="22.15" customHeight="1" x14ac:dyDescent="0.25"/>
    <row r="22" spans="1:1" ht="22.15" customHeight="1" x14ac:dyDescent="0.25"/>
    <row r="29" spans="1:1" ht="31.9" customHeight="1" x14ac:dyDescent="0.25">
      <c r="A29" s="3"/>
    </row>
  </sheetData>
  <mergeCells count="1">
    <mergeCell ref="A1:C1"/>
  </mergeCells>
  <hyperlinks>
    <hyperlink ref="A3" location="TARIH!A1" display="TARİH" xr:uid="{00000000-0004-0000-0000-000000000000}"/>
    <hyperlink ref="A4" location="HARF!A1" display="TARİH" xr:uid="{00000000-0004-0000-0000-000001000000}"/>
    <hyperlink ref="A5" location="YAZICI!A1" display="YAZICI" xr:uid="{00000000-0004-0000-0000-000002000000}"/>
    <hyperlink ref="A7" location="SAYI!A1" display="SAYI formülleri" xr:uid="{00000000-0004-0000-0000-000003000000}"/>
    <hyperlink ref="A6" location="DUSEYARA_YATAYARA!A1" display="DÜŞEYARA YATAYARA" xr:uid="{00000000-0004-0000-0000-000004000000}"/>
    <hyperlink ref="A10" location="KOSULLU_BICIMLENDIRME!A1" display="KOŞULLU BİÇİMLENDİRME" xr:uid="{00000000-0004-0000-0000-000005000000}"/>
    <hyperlink ref="A11" location="EGER!A1" display="EĞER" xr:uid="{00000000-0004-0000-0000-000006000000}"/>
    <hyperlink ref="A12" location="FILTRELEME!A1" display="FİLTRELEME" xr:uid="{00000000-0004-0000-0000-000007000000}"/>
    <hyperlink ref="C3" location="GRAFIK_1!A1" display="GRAFİK 1" xr:uid="{00000000-0004-0000-0000-000008000000}"/>
    <hyperlink ref="C12" location="ETOPLA!A1" display="ETOPLA-ÇOKETOPLA" xr:uid="{00000000-0004-0000-0000-000009000000}"/>
    <hyperlink ref="C7" location="SAYIYA_CEVIR!A1" display="SAYIYA ÇEVİR" xr:uid="{00000000-0004-0000-0000-00000A000000}"/>
    <hyperlink ref="C6" location="YINELENENLERI_KALDIR!A1" display="YİNELENENLERİ KALDIR" xr:uid="{00000000-0004-0000-0000-00000B000000}"/>
    <hyperlink ref="C4" location="GRAFIK_2!A1" display="GRAFIK_2!A1" xr:uid="{00000000-0004-0000-0000-00000C000000}"/>
    <hyperlink ref="A2" location="HARF!A1" display="TARİH" xr:uid="{00000000-0004-0000-0000-00000D000000}"/>
    <hyperlink ref="A2" location="SEMBOLLER!A1" display="SEMBOLLER" xr:uid="{00000000-0004-0000-0000-00000E000000}"/>
    <hyperlink ref="A9" location="EGERSAY!A1" display="EĞERSAY" xr:uid="{00000000-0004-0000-0000-00000F000000}"/>
    <hyperlink ref="A13" location="EGER!A1" display="EĞER" xr:uid="{00000000-0004-0000-0000-000010000000}"/>
    <hyperlink ref="A13" location="SIRALAMA!A1" display="SIRALAMA" xr:uid="{00000000-0004-0000-0000-000011000000}"/>
    <hyperlink ref="C5" location="GRAFIK_3!A1" display="GRAFİK 1" xr:uid="{00000000-0004-0000-0000-000012000000}"/>
    <hyperlink ref="C2" location="HIZLI_ERISIM!A1" display="HIZLI ERİŞİM ÇUBUĞU" xr:uid="{00000000-0004-0000-0000-000013000000}"/>
    <hyperlink ref="C9" location="BUL_DEGISTIR!A1" display="BUL DEĞİŞTİR" xr:uid="{00000000-0004-0000-0000-000014000000}"/>
    <hyperlink ref="C10" location="ISGUNU!A1" display="İŞ GÜNÜ" xr:uid="{00000000-0004-0000-0000-000015000000}"/>
    <hyperlink ref="C11" location="VERI_DOGRULAMA!A1" display="VERİ DOĞRULAMA" xr:uid="{00000000-0004-0000-0000-000016000000}"/>
    <hyperlink ref="C13" location="MAKRO_1!A1" display="MAKROYA GİRİŞ : Otomatik Yedek - Açılış Sayfası" xr:uid="{00000000-0004-0000-0000-000017000000}"/>
    <hyperlink ref="A8" location="KISA_YOLLAR!A1" display="KISA YOLLAR" xr:uid="{00000000-0004-0000-0000-000018000000}"/>
    <hyperlink ref="C8" location="OZET_TABLO!A1" display="ÖZET TABLO UYGULAMASI" xr:uid="{00000000-0004-0000-0000-000019000000}"/>
  </hyperlink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13"/>
  <sheetViews>
    <sheetView zoomScale="90" zoomScaleNormal="90" workbookViewId="0">
      <selection sqref="A1:A4"/>
    </sheetView>
  </sheetViews>
  <sheetFormatPr defaultColWidth="8.85546875" defaultRowHeight="15" x14ac:dyDescent="0.25"/>
  <cols>
    <col min="1" max="1" width="6.5703125" style="72" customWidth="1"/>
    <col min="2" max="2" width="10.7109375" style="72" customWidth="1"/>
    <col min="3" max="8" width="9.28515625" style="72" customWidth="1"/>
    <col min="9" max="9" width="1.7109375" style="72" customWidth="1"/>
    <col min="10" max="16" width="9.28515625" style="72" customWidth="1"/>
    <col min="17" max="17" width="1.7109375" style="72" customWidth="1"/>
    <col min="18" max="18" width="10" style="72" customWidth="1"/>
    <col min="19" max="24" width="9.28515625" style="72" customWidth="1"/>
    <col min="25" max="16384" width="8.85546875" style="72"/>
  </cols>
  <sheetData>
    <row r="1" spans="1:24" ht="40.15" customHeight="1" x14ac:dyDescent="0.25">
      <c r="A1" s="634" t="s">
        <v>96</v>
      </c>
      <c r="B1" s="693" t="s">
        <v>451</v>
      </c>
      <c r="C1" s="691" t="s">
        <v>460</v>
      </c>
      <c r="D1" s="691"/>
      <c r="E1" s="691"/>
      <c r="F1" s="691"/>
      <c r="G1" s="691"/>
      <c r="H1" s="692"/>
      <c r="I1" s="108"/>
      <c r="J1" s="631" t="s">
        <v>454</v>
      </c>
      <c r="K1" s="709" t="s">
        <v>602</v>
      </c>
      <c r="L1" s="710"/>
      <c r="M1" s="710"/>
      <c r="N1" s="710"/>
      <c r="O1" s="710"/>
      <c r="P1" s="711"/>
      <c r="Q1" s="108"/>
      <c r="R1" s="696" t="s">
        <v>452</v>
      </c>
      <c r="S1" s="699" t="s">
        <v>459</v>
      </c>
      <c r="T1" s="699"/>
      <c r="U1" s="699"/>
      <c r="V1" s="699"/>
      <c r="W1" s="699"/>
      <c r="X1" s="700"/>
    </row>
    <row r="2" spans="1:24" ht="40.15" customHeight="1" x14ac:dyDescent="0.25">
      <c r="A2" s="634"/>
      <c r="B2" s="694"/>
      <c r="C2" s="687" t="s">
        <v>457</v>
      </c>
      <c r="D2" s="687"/>
      <c r="E2" s="687"/>
      <c r="F2" s="687"/>
      <c r="G2" s="687"/>
      <c r="H2" s="688"/>
      <c r="I2" s="108"/>
      <c r="J2" s="632"/>
      <c r="K2" s="712"/>
      <c r="L2" s="713"/>
      <c r="M2" s="713"/>
      <c r="N2" s="713"/>
      <c r="O2" s="713"/>
      <c r="P2" s="714"/>
      <c r="Q2" s="108"/>
      <c r="R2" s="697"/>
      <c r="S2" s="729" t="s">
        <v>586</v>
      </c>
      <c r="T2" s="730"/>
      <c r="U2" s="730"/>
      <c r="V2" s="730"/>
      <c r="W2" s="730"/>
      <c r="X2" s="731"/>
    </row>
    <row r="3" spans="1:24" ht="40.15" customHeight="1" x14ac:dyDescent="0.25">
      <c r="A3" s="634"/>
      <c r="B3" s="695"/>
      <c r="C3" s="689"/>
      <c r="D3" s="689"/>
      <c r="E3" s="689"/>
      <c r="F3" s="689"/>
      <c r="G3" s="689"/>
      <c r="H3" s="690"/>
      <c r="I3" s="108"/>
      <c r="J3" s="633"/>
      <c r="K3" s="715"/>
      <c r="L3" s="716"/>
      <c r="M3" s="716"/>
      <c r="N3" s="716"/>
      <c r="O3" s="716"/>
      <c r="P3" s="717"/>
      <c r="Q3" s="108"/>
      <c r="R3" s="698"/>
      <c r="S3" s="732"/>
      <c r="T3" s="733"/>
      <c r="U3" s="733"/>
      <c r="V3" s="733"/>
      <c r="W3" s="733"/>
      <c r="X3" s="734"/>
    </row>
    <row r="4" spans="1:24" ht="10.15" customHeight="1" x14ac:dyDescent="0.25">
      <c r="A4" s="634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</row>
    <row r="5" spans="1:24" ht="40.15" customHeight="1" x14ac:dyDescent="0.25">
      <c r="B5" s="670" t="s">
        <v>465</v>
      </c>
      <c r="C5" s="673" t="s">
        <v>466</v>
      </c>
      <c r="D5" s="674"/>
      <c r="E5" s="674"/>
      <c r="F5" s="674"/>
      <c r="G5" s="674"/>
      <c r="H5" s="675"/>
      <c r="I5" s="108"/>
      <c r="J5" s="652" t="s">
        <v>467</v>
      </c>
      <c r="K5" s="655" t="s">
        <v>469</v>
      </c>
      <c r="L5" s="656"/>
      <c r="M5" s="656"/>
      <c r="N5" s="656"/>
      <c r="O5" s="656"/>
      <c r="P5" s="657"/>
      <c r="Q5" s="108"/>
      <c r="R5" s="684" t="s">
        <v>455</v>
      </c>
      <c r="S5" s="637" t="s">
        <v>458</v>
      </c>
      <c r="T5" s="638"/>
      <c r="U5" s="638"/>
      <c r="V5" s="638"/>
      <c r="W5" s="638"/>
      <c r="X5" s="639"/>
    </row>
    <row r="6" spans="1:24" ht="40.15" customHeight="1" x14ac:dyDescent="0.25">
      <c r="B6" s="671"/>
      <c r="C6" s="646" t="s">
        <v>572</v>
      </c>
      <c r="D6" s="647"/>
      <c r="E6" s="647"/>
      <c r="F6" s="647"/>
      <c r="G6" s="647"/>
      <c r="H6" s="648"/>
      <c r="I6" s="108"/>
      <c r="J6" s="653"/>
      <c r="K6" s="658" t="s">
        <v>470</v>
      </c>
      <c r="L6" s="659"/>
      <c r="M6" s="659"/>
      <c r="N6" s="659"/>
      <c r="O6" s="659"/>
      <c r="P6" s="660"/>
      <c r="Q6" s="108"/>
      <c r="R6" s="685"/>
      <c r="S6" s="640" t="s">
        <v>472</v>
      </c>
      <c r="T6" s="641"/>
      <c r="U6" s="641"/>
      <c r="V6" s="641"/>
      <c r="W6" s="641"/>
      <c r="X6" s="642"/>
    </row>
    <row r="7" spans="1:24" ht="40.15" customHeight="1" x14ac:dyDescent="0.25">
      <c r="B7" s="672"/>
      <c r="C7" s="649"/>
      <c r="D7" s="650"/>
      <c r="E7" s="650"/>
      <c r="F7" s="650"/>
      <c r="G7" s="650"/>
      <c r="H7" s="651"/>
      <c r="I7" s="108"/>
      <c r="J7" s="654"/>
      <c r="K7" s="661"/>
      <c r="L7" s="662"/>
      <c r="M7" s="662"/>
      <c r="N7" s="662"/>
      <c r="O7" s="662"/>
      <c r="P7" s="663"/>
      <c r="Q7" s="108"/>
      <c r="R7" s="686"/>
      <c r="S7" s="643"/>
      <c r="T7" s="644"/>
      <c r="U7" s="644"/>
      <c r="V7" s="644"/>
      <c r="W7" s="644"/>
      <c r="X7" s="645"/>
    </row>
    <row r="8" spans="1:24" ht="10.15" customHeight="1" x14ac:dyDescent="0.25">
      <c r="A8" s="71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</row>
    <row r="9" spans="1:24" ht="40.15" customHeight="1" x14ac:dyDescent="0.25">
      <c r="B9" s="676" t="s">
        <v>434</v>
      </c>
      <c r="C9" s="678" t="s">
        <v>463</v>
      </c>
      <c r="D9" s="679"/>
      <c r="E9" s="679"/>
      <c r="F9" s="679"/>
      <c r="G9" s="679"/>
      <c r="H9" s="680"/>
      <c r="I9" s="108"/>
      <c r="J9" s="628" t="s">
        <v>461</v>
      </c>
      <c r="K9" s="718" t="s">
        <v>601</v>
      </c>
      <c r="L9" s="719"/>
      <c r="M9" s="719"/>
      <c r="N9" s="719"/>
      <c r="O9" s="719"/>
      <c r="P9" s="720"/>
      <c r="Q9" s="108"/>
      <c r="R9" s="727" t="s">
        <v>462</v>
      </c>
      <c r="S9" s="735" t="s">
        <v>585</v>
      </c>
      <c r="T9" s="736"/>
      <c r="U9" s="736"/>
      <c r="V9" s="736"/>
      <c r="W9" s="736"/>
      <c r="X9" s="737"/>
    </row>
    <row r="10" spans="1:24" ht="40.15" customHeight="1" x14ac:dyDescent="0.25">
      <c r="B10" s="677"/>
      <c r="C10" s="681"/>
      <c r="D10" s="682"/>
      <c r="E10" s="682"/>
      <c r="F10" s="682"/>
      <c r="G10" s="682"/>
      <c r="H10" s="683"/>
      <c r="I10" s="108"/>
      <c r="J10" s="629"/>
      <c r="K10" s="721"/>
      <c r="L10" s="722"/>
      <c r="M10" s="722"/>
      <c r="N10" s="722"/>
      <c r="O10" s="722"/>
      <c r="P10" s="723"/>
      <c r="Q10" s="108"/>
      <c r="R10" s="728"/>
      <c r="S10" s="738"/>
      <c r="T10" s="739"/>
      <c r="U10" s="739"/>
      <c r="V10" s="739"/>
      <c r="W10" s="739"/>
      <c r="X10" s="740"/>
    </row>
    <row r="11" spans="1:24" ht="40.15" customHeight="1" x14ac:dyDescent="0.25">
      <c r="B11" s="635" t="s">
        <v>468</v>
      </c>
      <c r="C11" s="664" t="s">
        <v>471</v>
      </c>
      <c r="D11" s="665"/>
      <c r="E11" s="665"/>
      <c r="F11" s="665"/>
      <c r="G11" s="665"/>
      <c r="H11" s="666"/>
      <c r="I11" s="108"/>
      <c r="J11" s="629"/>
      <c r="K11" s="721"/>
      <c r="L11" s="722"/>
      <c r="M11" s="722"/>
      <c r="N11" s="722"/>
      <c r="O11" s="722"/>
      <c r="P11" s="723"/>
      <c r="Q11" s="108"/>
      <c r="R11" s="701" t="s">
        <v>464</v>
      </c>
      <c r="S11" s="703" t="s">
        <v>598</v>
      </c>
      <c r="T11" s="704"/>
      <c r="U11" s="704"/>
      <c r="V11" s="704"/>
      <c r="W11" s="704"/>
      <c r="X11" s="705"/>
    </row>
    <row r="12" spans="1:24" ht="40.15" customHeight="1" x14ac:dyDescent="0.25">
      <c r="B12" s="636"/>
      <c r="C12" s="667"/>
      <c r="D12" s="668"/>
      <c r="E12" s="668"/>
      <c r="F12" s="668"/>
      <c r="G12" s="668"/>
      <c r="H12" s="669"/>
      <c r="I12" s="108"/>
      <c r="J12" s="630"/>
      <c r="K12" s="724"/>
      <c r="L12" s="725"/>
      <c r="M12" s="725"/>
      <c r="N12" s="725"/>
      <c r="O12" s="725"/>
      <c r="P12" s="726"/>
      <c r="Q12" s="108"/>
      <c r="R12" s="702"/>
      <c r="S12" s="706"/>
      <c r="T12" s="707"/>
      <c r="U12" s="707"/>
      <c r="V12" s="707"/>
      <c r="W12" s="707"/>
      <c r="X12" s="708"/>
    </row>
    <row r="13" spans="1:24" ht="10.15" customHeight="1" x14ac:dyDescent="0.25">
      <c r="A13" s="71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08"/>
      <c r="W13" s="108"/>
      <c r="X13" s="108"/>
    </row>
  </sheetData>
  <mergeCells count="28">
    <mergeCell ref="R11:R12"/>
    <mergeCell ref="S11:X12"/>
    <mergeCell ref="K1:P3"/>
    <mergeCell ref="K9:P12"/>
    <mergeCell ref="R9:R10"/>
    <mergeCell ref="S2:X3"/>
    <mergeCell ref="S9:X10"/>
    <mergeCell ref="C2:H3"/>
    <mergeCell ref="C1:H1"/>
    <mergeCell ref="B1:B3"/>
    <mergeCell ref="R1:R3"/>
    <mergeCell ref="S1:X1"/>
    <mergeCell ref="J9:J12"/>
    <mergeCell ref="J1:J3"/>
    <mergeCell ref="A1:A4"/>
    <mergeCell ref="B11:B12"/>
    <mergeCell ref="S5:X5"/>
    <mergeCell ref="S6:X7"/>
    <mergeCell ref="C6:H7"/>
    <mergeCell ref="J5:J7"/>
    <mergeCell ref="K5:P5"/>
    <mergeCell ref="K6:P7"/>
    <mergeCell ref="C11:H12"/>
    <mergeCell ref="B5:B7"/>
    <mergeCell ref="C5:H5"/>
    <mergeCell ref="B9:B10"/>
    <mergeCell ref="C9:H10"/>
    <mergeCell ref="R5:R7"/>
  </mergeCells>
  <hyperlinks>
    <hyperlink ref="A1:A3" location="'__ANA SAYFA'!A1" display="ANA SAYFA" xr:uid="{00000000-0004-0000-01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4"/>
  <sheetViews>
    <sheetView zoomScale="90" zoomScaleNormal="90" workbookViewId="0">
      <selection sqref="A1:A4"/>
    </sheetView>
  </sheetViews>
  <sheetFormatPr defaultColWidth="8.85546875" defaultRowHeight="34.15" customHeight="1" x14ac:dyDescent="0.25"/>
  <cols>
    <col min="1" max="1" width="6.140625" style="69" customWidth="1"/>
    <col min="2" max="2" width="16.28515625" style="175" customWidth="1"/>
    <col min="3" max="3" width="50.140625" style="420" customWidth="1"/>
    <col min="4" max="4" width="63" style="175" customWidth="1"/>
    <col min="5" max="5" width="12.85546875" style="3" customWidth="1"/>
    <col min="6" max="6" width="31" style="3" customWidth="1"/>
    <col min="7" max="16384" width="8.85546875" style="3"/>
  </cols>
  <sheetData>
    <row r="1" spans="1:8" ht="34.15" customHeight="1" x14ac:dyDescent="0.25">
      <c r="A1" s="743" t="s">
        <v>96</v>
      </c>
      <c r="B1" s="421" t="s">
        <v>111</v>
      </c>
      <c r="C1" s="421" t="s">
        <v>294</v>
      </c>
      <c r="D1" s="421" t="s">
        <v>777</v>
      </c>
      <c r="F1" s="598">
        <v>1</v>
      </c>
    </row>
    <row r="2" spans="1:8" ht="34.15" customHeight="1" x14ac:dyDescent="0.25">
      <c r="A2" s="634"/>
      <c r="B2" s="416" t="s">
        <v>97</v>
      </c>
      <c r="C2" s="599">
        <f ca="1">NOW()</f>
        <v>44346.006777893519</v>
      </c>
      <c r="D2" s="422" t="s">
        <v>66</v>
      </c>
    </row>
    <row r="3" spans="1:8" ht="34.15" customHeight="1" x14ac:dyDescent="0.25">
      <c r="A3" s="634"/>
      <c r="B3" s="417" t="s">
        <v>98</v>
      </c>
      <c r="C3" s="413">
        <v>44438</v>
      </c>
      <c r="D3" s="423" t="s">
        <v>65</v>
      </c>
    </row>
    <row r="4" spans="1:8" ht="34.15" customHeight="1" x14ac:dyDescent="0.25">
      <c r="A4" s="634"/>
      <c r="B4" s="416" t="s">
        <v>99</v>
      </c>
      <c r="C4" s="187">
        <f>DAY(C3)</f>
        <v>30</v>
      </c>
      <c r="D4" s="422" t="s">
        <v>69</v>
      </c>
    </row>
    <row r="5" spans="1:8" ht="34.15" customHeight="1" x14ac:dyDescent="0.25">
      <c r="B5" s="417" t="s">
        <v>100</v>
      </c>
      <c r="C5" s="414">
        <f>MONTH(C3)</f>
        <v>8</v>
      </c>
      <c r="D5" s="423" t="s">
        <v>67</v>
      </c>
    </row>
    <row r="6" spans="1:8" ht="34.15" customHeight="1" x14ac:dyDescent="0.25">
      <c r="B6" s="416" t="s">
        <v>101</v>
      </c>
      <c r="C6" s="187">
        <f>YEAR(C3)</f>
        <v>2021</v>
      </c>
      <c r="D6" s="422" t="s">
        <v>68</v>
      </c>
    </row>
    <row r="7" spans="1:8" ht="34.15" customHeight="1" x14ac:dyDescent="0.25">
      <c r="B7" s="417" t="s">
        <v>102</v>
      </c>
      <c r="C7" s="413">
        <f>DATE(C6,C5,C4)+1</f>
        <v>44439</v>
      </c>
      <c r="D7" s="423" t="s">
        <v>775</v>
      </c>
    </row>
    <row r="8" spans="1:8" ht="30.6" customHeight="1" x14ac:dyDescent="0.25">
      <c r="B8" s="416" t="s">
        <v>102</v>
      </c>
      <c r="C8" s="191">
        <f>DATE(C6,C5,C4)-1</f>
        <v>44437</v>
      </c>
      <c r="D8" s="422" t="s">
        <v>776</v>
      </c>
      <c r="E8" s="744" t="s">
        <v>389</v>
      </c>
      <c r="F8" s="744"/>
      <c r="G8" s="744"/>
      <c r="H8" s="745"/>
    </row>
    <row r="9" spans="1:8" ht="30.6" customHeight="1" x14ac:dyDescent="0.4">
      <c r="C9" s="175"/>
      <c r="D9" s="424" t="s">
        <v>609</v>
      </c>
      <c r="E9" s="188" t="s">
        <v>386</v>
      </c>
      <c r="F9" s="189">
        <v>2021</v>
      </c>
      <c r="G9" s="188" t="s">
        <v>387</v>
      </c>
      <c r="H9" s="188" t="s">
        <v>388</v>
      </c>
    </row>
    <row r="10" spans="1:8" ht="30.6" customHeight="1" x14ac:dyDescent="0.5">
      <c r="C10" s="175"/>
      <c r="D10" s="425" t="s">
        <v>597</v>
      </c>
      <c r="E10" s="746">
        <f>DATE($F$9,$G10,H10)</f>
        <v>44309</v>
      </c>
      <c r="F10" s="747"/>
      <c r="G10" s="190">
        <v>4</v>
      </c>
      <c r="H10" s="190">
        <v>23</v>
      </c>
    </row>
    <row r="11" spans="1:8" ht="30.6" customHeight="1" x14ac:dyDescent="0.5">
      <c r="C11" s="426"/>
      <c r="D11" s="425" t="s">
        <v>594</v>
      </c>
      <c r="E11" s="741">
        <f>DATE($F$9,$G11,H11)</f>
        <v>44335</v>
      </c>
      <c r="F11" s="742"/>
      <c r="G11" s="190">
        <v>5</v>
      </c>
      <c r="H11" s="190">
        <v>19</v>
      </c>
    </row>
    <row r="12" spans="1:8" ht="30.6" customHeight="1" x14ac:dyDescent="0.5">
      <c r="D12" s="425" t="s">
        <v>595</v>
      </c>
      <c r="E12" s="741">
        <f t="shared" ref="E12:E13" si="0">DATE($F$9,$G12,H12)</f>
        <v>44438</v>
      </c>
      <c r="F12" s="742"/>
      <c r="G12" s="190">
        <v>8</v>
      </c>
      <c r="H12" s="190">
        <v>30</v>
      </c>
    </row>
    <row r="13" spans="1:8" ht="30.6" customHeight="1" x14ac:dyDescent="0.5">
      <c r="D13" s="425" t="s">
        <v>596</v>
      </c>
      <c r="E13" s="741">
        <f t="shared" si="0"/>
        <v>44498</v>
      </c>
      <c r="F13" s="742"/>
      <c r="G13" s="190">
        <v>10</v>
      </c>
      <c r="H13" s="190">
        <v>29</v>
      </c>
    </row>
    <row r="14" spans="1:8" ht="30.6" customHeight="1" x14ac:dyDescent="0.25">
      <c r="G14" s="54"/>
      <c r="H14" s="54"/>
    </row>
  </sheetData>
  <mergeCells count="6">
    <mergeCell ref="E13:F13"/>
    <mergeCell ref="A1:A4"/>
    <mergeCell ref="E8:H8"/>
    <mergeCell ref="E10:F10"/>
    <mergeCell ref="E11:F11"/>
    <mergeCell ref="E12:F12"/>
  </mergeCells>
  <hyperlinks>
    <hyperlink ref="A1:A3" location="'__ANA SAYFA'!A1" display="ANA SAYFA" xr:uid="{00000000-0004-0000-0200-000000000000}"/>
  </hyperlink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1"/>
  <sheetViews>
    <sheetView workbookViewId="0">
      <selection activeCell="D7" sqref="D7"/>
    </sheetView>
  </sheetViews>
  <sheetFormatPr defaultColWidth="8.85546875" defaultRowHeight="34.15" customHeight="1" x14ac:dyDescent="0.25"/>
  <cols>
    <col min="1" max="1" width="6.140625" style="69" customWidth="1"/>
    <col min="2" max="2" width="31.140625" style="419" customWidth="1"/>
    <col min="3" max="3" width="44.140625" style="175" bestFit="1" customWidth="1"/>
    <col min="4" max="4" width="50.5703125" style="420" customWidth="1"/>
    <col min="5" max="5" width="45.28515625" style="52" customWidth="1"/>
    <col min="6" max="6" width="1.42578125" style="3" customWidth="1"/>
    <col min="7" max="7" width="19.5703125" style="3" customWidth="1"/>
    <col min="8" max="16384" width="8.85546875" style="3"/>
  </cols>
  <sheetData>
    <row r="1" spans="1:5" ht="34.15" customHeight="1" x14ac:dyDescent="0.25">
      <c r="A1" s="634" t="s">
        <v>96</v>
      </c>
      <c r="B1" s="415" t="s">
        <v>111</v>
      </c>
      <c r="C1" s="415" t="s">
        <v>112</v>
      </c>
      <c r="D1" s="415" t="s">
        <v>294</v>
      </c>
      <c r="E1" s="415" t="s">
        <v>113</v>
      </c>
    </row>
    <row r="2" spans="1:5" ht="34.15" customHeight="1" x14ac:dyDescent="0.25">
      <c r="A2" s="743"/>
      <c r="B2" s="430" t="s">
        <v>103</v>
      </c>
      <c r="C2" s="431" t="s">
        <v>800</v>
      </c>
      <c r="D2" s="432" t="str">
        <f>PROPER(C2)</f>
        <v>Dünya Sağlık Örgütü</v>
      </c>
      <c r="E2" s="433" t="s">
        <v>2</v>
      </c>
    </row>
    <row r="3" spans="1:5" ht="34.15" customHeight="1" x14ac:dyDescent="0.25">
      <c r="A3" s="743"/>
      <c r="B3" s="417" t="s">
        <v>103</v>
      </c>
      <c r="C3" s="427" t="s">
        <v>384</v>
      </c>
      <c r="D3" s="428" t="str">
        <f>PROPER(C3)</f>
        <v>Julia</v>
      </c>
      <c r="E3" s="429" t="e">
        <f>UPPER(MID(C3,FIND(" ",C3)+1,50))</f>
        <v>#VALUE!</v>
      </c>
    </row>
    <row r="4" spans="1:5" ht="34.15" customHeight="1" x14ac:dyDescent="0.25">
      <c r="A4" s="743"/>
      <c r="B4" s="430" t="s">
        <v>105</v>
      </c>
      <c r="C4" s="431" t="s">
        <v>385</v>
      </c>
      <c r="D4" s="432" t="str">
        <f>UPPER(C4)</f>
        <v>ROBERTS</v>
      </c>
      <c r="E4" s="433" t="s">
        <v>108</v>
      </c>
    </row>
    <row r="5" spans="1:5" ht="34.15" customHeight="1" x14ac:dyDescent="0.25">
      <c r="B5" s="417" t="s">
        <v>104</v>
      </c>
      <c r="C5" s="427" t="s">
        <v>106</v>
      </c>
      <c r="D5" s="600" t="str">
        <f>CONCATENATE(D3,D4)</f>
        <v>JuliaROBERTS</v>
      </c>
      <c r="E5" s="429" t="s">
        <v>107</v>
      </c>
    </row>
    <row r="6" spans="1:5" ht="34.15" customHeight="1" x14ac:dyDescent="0.25">
      <c r="B6" s="430" t="s">
        <v>305</v>
      </c>
      <c r="C6" s="431" t="s">
        <v>306</v>
      </c>
      <c r="D6" s="432" t="str">
        <f>CONCATENATE(D4,", ",D3)</f>
        <v>ROBERTS, Julia</v>
      </c>
      <c r="E6" s="433" t="s">
        <v>603</v>
      </c>
    </row>
    <row r="7" spans="1:5" ht="34.15" customHeight="1" x14ac:dyDescent="0.25">
      <c r="B7" s="417" t="s">
        <v>110</v>
      </c>
      <c r="C7" s="427" t="s">
        <v>304</v>
      </c>
      <c r="D7" s="434" t="str">
        <f>LOWER(D5)&amp;"@gmail.com"</f>
        <v>juliaroberts@gmail.com</v>
      </c>
      <c r="E7" s="429" t="s">
        <v>109</v>
      </c>
    </row>
    <row r="8" spans="1:5" ht="34.15" customHeight="1" x14ac:dyDescent="0.25">
      <c r="B8" s="418"/>
      <c r="C8" s="220"/>
      <c r="D8" s="418"/>
      <c r="E8" s="6"/>
    </row>
    <row r="9" spans="1:5" ht="34.15" customHeight="1" x14ac:dyDescent="0.25">
      <c r="B9" s="418"/>
      <c r="C9" s="220"/>
      <c r="D9" s="418"/>
      <c r="E9" s="6"/>
    </row>
    <row r="10" spans="1:5" ht="34.15" customHeight="1" x14ac:dyDescent="0.25">
      <c r="B10" s="418"/>
      <c r="D10" s="418"/>
    </row>
    <row r="11" spans="1:5" ht="34.15" customHeight="1" x14ac:dyDescent="0.25">
      <c r="B11" s="418"/>
      <c r="D11" s="418"/>
    </row>
  </sheetData>
  <mergeCells count="1">
    <mergeCell ref="A1:A4"/>
  </mergeCells>
  <hyperlinks>
    <hyperlink ref="A1:A3" location="'__ANA SAYFA'!A1" display="ANA SAYFA" xr:uid="{00000000-0004-0000-0300-000000000000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Y57"/>
  <sheetViews>
    <sheetView zoomScale="65" zoomScaleNormal="65" workbookViewId="0">
      <selection activeCell="C2" sqref="C2:R57"/>
    </sheetView>
  </sheetViews>
  <sheetFormatPr defaultColWidth="9.140625" defaultRowHeight="15.95" customHeight="1" x14ac:dyDescent="0.25"/>
  <cols>
    <col min="1" max="1" width="7.42578125" style="70" customWidth="1"/>
    <col min="2" max="2" width="16" style="12" customWidth="1"/>
    <col min="3" max="3" width="1.7109375" style="12" customWidth="1"/>
    <col min="4" max="6" width="15.140625" style="12" customWidth="1"/>
    <col min="7" max="7" width="1.7109375" style="12" customWidth="1"/>
    <col min="8" max="10" width="15.140625" style="12" customWidth="1"/>
    <col min="11" max="11" width="1.7109375" style="12" customWidth="1"/>
    <col min="12" max="14" width="15.140625" style="12" customWidth="1"/>
    <col min="15" max="15" width="1.7109375" style="12" customWidth="1"/>
    <col min="16" max="18" width="15.140625" style="12" customWidth="1"/>
    <col min="19" max="19" width="1.7109375" style="2" customWidth="1"/>
    <col min="20" max="20" width="14.5703125" style="2" customWidth="1"/>
    <col min="21" max="21" width="12.5703125" style="17" customWidth="1"/>
    <col min="22" max="22" width="9.140625" style="2"/>
    <col min="23" max="23" width="11.85546875" style="2" customWidth="1"/>
    <col min="24" max="24" width="14.85546875" style="2" bestFit="1" customWidth="1"/>
    <col min="25" max="25" width="12.5703125" style="2" customWidth="1"/>
    <col min="26" max="16384" width="9.140625" style="2"/>
  </cols>
  <sheetData>
    <row r="1" spans="1:25" ht="24" customHeight="1" x14ac:dyDescent="0.25">
      <c r="A1" s="787" t="s">
        <v>96</v>
      </c>
      <c r="B1" s="11" t="s">
        <v>3</v>
      </c>
      <c r="D1" s="11" t="s">
        <v>4</v>
      </c>
      <c r="E1" s="11" t="s">
        <v>5</v>
      </c>
      <c r="F1" s="11" t="s">
        <v>6</v>
      </c>
      <c r="H1" s="11" t="s">
        <v>255</v>
      </c>
      <c r="I1" s="11" t="s">
        <v>256</v>
      </c>
      <c r="J1" s="11" t="s">
        <v>257</v>
      </c>
      <c r="L1" s="11" t="s">
        <v>258</v>
      </c>
      <c r="M1" s="11" t="s">
        <v>259</v>
      </c>
      <c r="N1" s="11" t="s">
        <v>260</v>
      </c>
      <c r="P1" s="11" t="s">
        <v>261</v>
      </c>
      <c r="Q1" s="11" t="s">
        <v>262</v>
      </c>
      <c r="R1" s="11" t="s">
        <v>263</v>
      </c>
      <c r="T1" s="788" t="s">
        <v>84</v>
      </c>
      <c r="U1" s="2"/>
    </row>
    <row r="2" spans="1:25" ht="15.95" customHeight="1" x14ac:dyDescent="0.25">
      <c r="A2" s="787"/>
      <c r="B2" s="174" t="s">
        <v>7</v>
      </c>
      <c r="C2" s="18"/>
      <c r="D2" s="13">
        <v>120000</v>
      </c>
      <c r="E2" s="13">
        <f t="shared" ref="E2:E56" si="0">D2+INT(D2/4)</f>
        <v>150000</v>
      </c>
      <c r="F2" s="13">
        <f t="shared" ref="F2:F56" si="1">E2-INT(E2/2)</f>
        <v>75000</v>
      </c>
      <c r="H2" s="14">
        <f t="shared" ref="H2:H33" si="2">F2+INT(F2/4)</f>
        <v>93750</v>
      </c>
      <c r="I2" s="14">
        <f t="shared" ref="I2:I56" si="3">H2-INT(H2/2)</f>
        <v>46875</v>
      </c>
      <c r="J2" s="14">
        <f t="shared" ref="J2:J33" si="4">+D2+51</f>
        <v>120051</v>
      </c>
      <c r="L2" s="15">
        <f t="shared" ref="L2:L33" si="5">J2+INT(J2/4)</f>
        <v>150063</v>
      </c>
      <c r="M2" s="15">
        <f t="shared" ref="M2:M56" si="6">L2-INT(L2/2)</f>
        <v>75032</v>
      </c>
      <c r="N2" s="15">
        <f t="shared" ref="N2:N56" si="7">M2+INT(M2/4)</f>
        <v>93790</v>
      </c>
      <c r="P2" s="16">
        <f t="shared" ref="P2:P33" si="8">N2-INT(N2/2)</f>
        <v>46895</v>
      </c>
      <c r="Q2" s="16">
        <f t="shared" ref="Q2:Q33" si="9">+D2-40</f>
        <v>119960</v>
      </c>
      <c r="R2" s="16">
        <f t="shared" ref="R2:R56" si="10">Q2-INT(Q2/2)</f>
        <v>59980</v>
      </c>
      <c r="T2" s="788"/>
      <c r="U2" s="2"/>
    </row>
    <row r="3" spans="1:25" ht="15.95" customHeight="1" x14ac:dyDescent="0.25">
      <c r="A3" s="787"/>
      <c r="B3" s="174" t="s">
        <v>8</v>
      </c>
      <c r="D3" s="13">
        <v>180000</v>
      </c>
      <c r="E3" s="13">
        <f t="shared" si="0"/>
        <v>225000</v>
      </c>
      <c r="F3" s="13">
        <f t="shared" si="1"/>
        <v>112500</v>
      </c>
      <c r="H3" s="14">
        <f t="shared" si="2"/>
        <v>140625</v>
      </c>
      <c r="I3" s="14">
        <f t="shared" si="3"/>
        <v>70313</v>
      </c>
      <c r="J3" s="14">
        <f t="shared" si="4"/>
        <v>180051</v>
      </c>
      <c r="L3" s="15">
        <f t="shared" si="5"/>
        <v>225063</v>
      </c>
      <c r="M3" s="15">
        <f t="shared" si="6"/>
        <v>112532</v>
      </c>
      <c r="N3" s="15">
        <f t="shared" si="7"/>
        <v>140665</v>
      </c>
      <c r="P3" s="16">
        <f t="shared" si="8"/>
        <v>70333</v>
      </c>
      <c r="Q3" s="16">
        <f t="shared" si="9"/>
        <v>179960</v>
      </c>
      <c r="R3" s="16">
        <f t="shared" si="10"/>
        <v>89980</v>
      </c>
      <c r="T3" s="816" t="s">
        <v>264</v>
      </c>
      <c r="U3" s="816"/>
      <c r="V3" s="816"/>
      <c r="W3" s="816"/>
      <c r="X3" s="816"/>
      <c r="Y3" s="816"/>
    </row>
    <row r="4" spans="1:25" s="17" customFormat="1" ht="15.95" customHeight="1" x14ac:dyDescent="0.25">
      <c r="A4" s="787"/>
      <c r="B4" s="174" t="s">
        <v>9</v>
      </c>
      <c r="C4" s="12"/>
      <c r="D4" s="13">
        <v>224000</v>
      </c>
      <c r="E4" s="13">
        <f t="shared" si="0"/>
        <v>280000</v>
      </c>
      <c r="F4" s="13">
        <f t="shared" si="1"/>
        <v>140000</v>
      </c>
      <c r="G4" s="12"/>
      <c r="H4" s="14">
        <f t="shared" si="2"/>
        <v>175000</v>
      </c>
      <c r="I4" s="14">
        <f t="shared" si="3"/>
        <v>87500</v>
      </c>
      <c r="J4" s="14">
        <f t="shared" si="4"/>
        <v>224051</v>
      </c>
      <c r="K4" s="12"/>
      <c r="L4" s="15">
        <f t="shared" si="5"/>
        <v>280063</v>
      </c>
      <c r="M4" s="15">
        <f t="shared" si="6"/>
        <v>140032</v>
      </c>
      <c r="N4" s="15">
        <f t="shared" si="7"/>
        <v>175040</v>
      </c>
      <c r="O4" s="12"/>
      <c r="P4" s="16">
        <f t="shared" si="8"/>
        <v>87520</v>
      </c>
      <c r="Q4" s="16">
        <f t="shared" si="9"/>
        <v>223960</v>
      </c>
      <c r="R4" s="16">
        <f t="shared" si="10"/>
        <v>111980</v>
      </c>
      <c r="S4" s="2"/>
      <c r="T4" s="816"/>
      <c r="U4" s="816"/>
      <c r="V4" s="816"/>
      <c r="W4" s="816"/>
      <c r="X4" s="816"/>
      <c r="Y4" s="816"/>
    </row>
    <row r="5" spans="1:25" ht="15.95" customHeight="1" x14ac:dyDescent="0.25">
      <c r="A5" s="787"/>
      <c r="B5" s="174" t="s">
        <v>10</v>
      </c>
      <c r="D5" s="13">
        <v>357000</v>
      </c>
      <c r="E5" s="13">
        <f t="shared" si="0"/>
        <v>446250</v>
      </c>
      <c r="F5" s="13">
        <f t="shared" si="1"/>
        <v>223125</v>
      </c>
      <c r="H5" s="14">
        <f t="shared" si="2"/>
        <v>278906</v>
      </c>
      <c r="I5" s="14">
        <f t="shared" si="3"/>
        <v>139453</v>
      </c>
      <c r="J5" s="14">
        <f t="shared" si="4"/>
        <v>357051</v>
      </c>
      <c r="L5" s="15">
        <f t="shared" si="5"/>
        <v>446313</v>
      </c>
      <c r="M5" s="15">
        <f t="shared" si="6"/>
        <v>223157</v>
      </c>
      <c r="N5" s="15">
        <f t="shared" si="7"/>
        <v>278946</v>
      </c>
      <c r="P5" s="16">
        <f t="shared" si="8"/>
        <v>139473</v>
      </c>
      <c r="Q5" s="16">
        <f t="shared" si="9"/>
        <v>356960</v>
      </c>
      <c r="R5" s="16">
        <f t="shared" si="10"/>
        <v>178480</v>
      </c>
      <c r="T5" s="760" t="s">
        <v>379</v>
      </c>
      <c r="U5" s="792" t="s">
        <v>599</v>
      </c>
      <c r="V5" s="793"/>
      <c r="W5" s="793"/>
      <c r="X5" s="793"/>
      <c r="Y5" s="794"/>
    </row>
    <row r="6" spans="1:25" ht="15.95" customHeight="1" x14ac:dyDescent="0.25">
      <c r="A6" s="787"/>
      <c r="B6" s="174" t="s">
        <v>11</v>
      </c>
      <c r="D6" s="13">
        <v>900000</v>
      </c>
      <c r="E6" s="13">
        <f t="shared" si="0"/>
        <v>1125000</v>
      </c>
      <c r="F6" s="13">
        <f t="shared" si="1"/>
        <v>562500</v>
      </c>
      <c r="H6" s="14">
        <f t="shared" si="2"/>
        <v>703125</v>
      </c>
      <c r="I6" s="14">
        <f t="shared" si="3"/>
        <v>351563</v>
      </c>
      <c r="J6" s="14">
        <f t="shared" si="4"/>
        <v>900051</v>
      </c>
      <c r="L6" s="15">
        <f t="shared" si="5"/>
        <v>1125063</v>
      </c>
      <c r="M6" s="15">
        <f t="shared" si="6"/>
        <v>562532</v>
      </c>
      <c r="N6" s="15">
        <f t="shared" si="7"/>
        <v>703165</v>
      </c>
      <c r="P6" s="16">
        <f t="shared" si="8"/>
        <v>351583</v>
      </c>
      <c r="Q6" s="16">
        <f t="shared" si="9"/>
        <v>899960</v>
      </c>
      <c r="R6" s="16">
        <f t="shared" si="10"/>
        <v>449980</v>
      </c>
      <c r="T6" s="761"/>
      <c r="U6" s="795"/>
      <c r="V6" s="796"/>
      <c r="W6" s="796"/>
      <c r="X6" s="796"/>
      <c r="Y6" s="797"/>
    </row>
    <row r="7" spans="1:25" ht="15.95" customHeight="1" x14ac:dyDescent="0.25">
      <c r="A7" s="787"/>
      <c r="B7" s="174" t="s">
        <v>12</v>
      </c>
      <c r="D7" s="13">
        <v>75000</v>
      </c>
      <c r="E7" s="13">
        <f t="shared" si="0"/>
        <v>93750</v>
      </c>
      <c r="F7" s="13">
        <f t="shared" si="1"/>
        <v>46875</v>
      </c>
      <c r="H7" s="14">
        <f t="shared" si="2"/>
        <v>58593</v>
      </c>
      <c r="I7" s="14">
        <f t="shared" si="3"/>
        <v>29297</v>
      </c>
      <c r="J7" s="14">
        <f t="shared" si="4"/>
        <v>75051</v>
      </c>
      <c r="L7" s="15">
        <f t="shared" si="5"/>
        <v>93813</v>
      </c>
      <c r="M7" s="15">
        <f t="shared" si="6"/>
        <v>46907</v>
      </c>
      <c r="N7" s="15">
        <f t="shared" si="7"/>
        <v>58633</v>
      </c>
      <c r="P7" s="16">
        <f t="shared" si="8"/>
        <v>29317</v>
      </c>
      <c r="Q7" s="16">
        <f t="shared" si="9"/>
        <v>74960</v>
      </c>
      <c r="R7" s="16">
        <f t="shared" si="10"/>
        <v>37480</v>
      </c>
      <c r="T7" s="761"/>
      <c r="U7" s="798" t="s">
        <v>573</v>
      </c>
      <c r="V7" s="799"/>
      <c r="W7" s="799"/>
      <c r="X7" s="799"/>
      <c r="Y7" s="800"/>
    </row>
    <row r="8" spans="1:25" ht="15.95" customHeight="1" x14ac:dyDescent="0.25">
      <c r="A8" s="787"/>
      <c r="B8" s="174" t="s">
        <v>13</v>
      </c>
      <c r="D8" s="13">
        <v>444000</v>
      </c>
      <c r="E8" s="13">
        <f t="shared" si="0"/>
        <v>555000</v>
      </c>
      <c r="F8" s="13">
        <f t="shared" si="1"/>
        <v>277500</v>
      </c>
      <c r="H8" s="14">
        <f t="shared" si="2"/>
        <v>346875</v>
      </c>
      <c r="I8" s="14">
        <f t="shared" si="3"/>
        <v>173438</v>
      </c>
      <c r="J8" s="14">
        <f t="shared" si="4"/>
        <v>444051</v>
      </c>
      <c r="L8" s="15">
        <f t="shared" si="5"/>
        <v>555063</v>
      </c>
      <c r="M8" s="15">
        <f t="shared" si="6"/>
        <v>277532</v>
      </c>
      <c r="N8" s="15">
        <f t="shared" si="7"/>
        <v>346915</v>
      </c>
      <c r="P8" s="16">
        <f t="shared" si="8"/>
        <v>173458</v>
      </c>
      <c r="Q8" s="16">
        <f t="shared" si="9"/>
        <v>443960</v>
      </c>
      <c r="R8" s="16">
        <f t="shared" si="10"/>
        <v>221980</v>
      </c>
      <c r="T8" s="761"/>
      <c r="U8" s="798"/>
      <c r="V8" s="799"/>
      <c r="W8" s="799"/>
      <c r="X8" s="799"/>
      <c r="Y8" s="800"/>
    </row>
    <row r="9" spans="1:25" ht="15.95" customHeight="1" x14ac:dyDescent="0.25">
      <c r="A9" s="787"/>
      <c r="B9" s="174" t="s">
        <v>14</v>
      </c>
      <c r="D9" s="13">
        <v>324000</v>
      </c>
      <c r="E9" s="13">
        <f t="shared" si="0"/>
        <v>405000</v>
      </c>
      <c r="F9" s="13">
        <f t="shared" si="1"/>
        <v>202500</v>
      </c>
      <c r="H9" s="14">
        <f t="shared" si="2"/>
        <v>253125</v>
      </c>
      <c r="I9" s="14">
        <f t="shared" si="3"/>
        <v>126563</v>
      </c>
      <c r="J9" s="14">
        <f t="shared" si="4"/>
        <v>324051</v>
      </c>
      <c r="L9" s="15">
        <f t="shared" si="5"/>
        <v>405063</v>
      </c>
      <c r="M9" s="15">
        <f t="shared" si="6"/>
        <v>202532</v>
      </c>
      <c r="N9" s="15">
        <f t="shared" si="7"/>
        <v>253165</v>
      </c>
      <c r="P9" s="16">
        <f t="shared" si="8"/>
        <v>126583</v>
      </c>
      <c r="Q9" s="16">
        <f t="shared" si="9"/>
        <v>323960</v>
      </c>
      <c r="R9" s="16">
        <f t="shared" si="10"/>
        <v>161980</v>
      </c>
      <c r="T9" s="761"/>
      <c r="U9" s="795" t="s">
        <v>265</v>
      </c>
      <c r="V9" s="796"/>
      <c r="W9" s="796"/>
      <c r="X9" s="796"/>
      <c r="Y9" s="797"/>
    </row>
    <row r="10" spans="1:25" ht="15.95" customHeight="1" x14ac:dyDescent="0.25">
      <c r="A10" s="787"/>
      <c r="B10" s="174" t="s">
        <v>15</v>
      </c>
      <c r="D10" s="13">
        <v>199000</v>
      </c>
      <c r="E10" s="13">
        <f t="shared" si="0"/>
        <v>248750</v>
      </c>
      <c r="F10" s="13">
        <f t="shared" si="1"/>
        <v>124375</v>
      </c>
      <c r="H10" s="14">
        <f t="shared" si="2"/>
        <v>155468</v>
      </c>
      <c r="I10" s="14">
        <f t="shared" si="3"/>
        <v>77734</v>
      </c>
      <c r="J10" s="14">
        <f t="shared" si="4"/>
        <v>199051</v>
      </c>
      <c r="L10" s="15">
        <f t="shared" si="5"/>
        <v>248813</v>
      </c>
      <c r="M10" s="15">
        <f t="shared" si="6"/>
        <v>124407</v>
      </c>
      <c r="N10" s="15">
        <f t="shared" si="7"/>
        <v>155508</v>
      </c>
      <c r="P10" s="16">
        <f t="shared" si="8"/>
        <v>77754</v>
      </c>
      <c r="Q10" s="16">
        <f t="shared" si="9"/>
        <v>198960</v>
      </c>
      <c r="R10" s="16">
        <f t="shared" si="10"/>
        <v>99480</v>
      </c>
      <c r="T10" s="761"/>
      <c r="U10" s="795"/>
      <c r="V10" s="796"/>
      <c r="W10" s="796"/>
      <c r="X10" s="796"/>
      <c r="Y10" s="797"/>
    </row>
    <row r="11" spans="1:25" ht="15.95" customHeight="1" x14ac:dyDescent="0.25">
      <c r="A11" s="787"/>
      <c r="B11" s="174" t="s">
        <v>16</v>
      </c>
      <c r="D11" s="13">
        <v>752000</v>
      </c>
      <c r="E11" s="13">
        <f t="shared" si="0"/>
        <v>940000</v>
      </c>
      <c r="F11" s="13">
        <f t="shared" si="1"/>
        <v>470000</v>
      </c>
      <c r="H11" s="14">
        <f t="shared" si="2"/>
        <v>587500</v>
      </c>
      <c r="I11" s="14">
        <f t="shared" si="3"/>
        <v>293750</v>
      </c>
      <c r="J11" s="14">
        <f t="shared" si="4"/>
        <v>752051</v>
      </c>
      <c r="L11" s="15">
        <f t="shared" si="5"/>
        <v>940063</v>
      </c>
      <c r="M11" s="15">
        <f t="shared" si="6"/>
        <v>470032</v>
      </c>
      <c r="N11" s="15">
        <f t="shared" si="7"/>
        <v>587540</v>
      </c>
      <c r="P11" s="16">
        <f t="shared" si="8"/>
        <v>293770</v>
      </c>
      <c r="Q11" s="16">
        <f t="shared" si="9"/>
        <v>751960</v>
      </c>
      <c r="R11" s="16">
        <f t="shared" si="10"/>
        <v>375980</v>
      </c>
      <c r="T11" s="761"/>
      <c r="U11" s="795" t="s">
        <v>574</v>
      </c>
      <c r="V11" s="796"/>
      <c r="W11" s="796"/>
      <c r="X11" s="796"/>
      <c r="Y11" s="797"/>
    </row>
    <row r="12" spans="1:25" ht="15.95" customHeight="1" x14ac:dyDescent="0.25">
      <c r="A12" s="787"/>
      <c r="B12" s="174" t="s">
        <v>17</v>
      </c>
      <c r="D12" s="13">
        <v>1122000</v>
      </c>
      <c r="E12" s="13">
        <f t="shared" si="0"/>
        <v>1402500</v>
      </c>
      <c r="F12" s="13">
        <f t="shared" si="1"/>
        <v>701250</v>
      </c>
      <c r="H12" s="14">
        <f t="shared" si="2"/>
        <v>876562</v>
      </c>
      <c r="I12" s="14">
        <f t="shared" si="3"/>
        <v>438281</v>
      </c>
      <c r="J12" s="14">
        <f t="shared" si="4"/>
        <v>1122051</v>
      </c>
      <c r="L12" s="15">
        <f t="shared" si="5"/>
        <v>1402563</v>
      </c>
      <c r="M12" s="15">
        <f t="shared" si="6"/>
        <v>701282</v>
      </c>
      <c r="N12" s="15">
        <f t="shared" si="7"/>
        <v>876602</v>
      </c>
      <c r="P12" s="16">
        <f t="shared" si="8"/>
        <v>438301</v>
      </c>
      <c r="Q12" s="16">
        <f t="shared" si="9"/>
        <v>1121960</v>
      </c>
      <c r="R12" s="16">
        <f t="shared" si="10"/>
        <v>560980</v>
      </c>
      <c r="T12" s="762"/>
      <c r="U12" s="801"/>
      <c r="V12" s="802"/>
      <c r="W12" s="802"/>
      <c r="X12" s="802"/>
      <c r="Y12" s="803"/>
    </row>
    <row r="13" spans="1:25" ht="15.95" customHeight="1" x14ac:dyDescent="0.25">
      <c r="B13" s="174" t="s">
        <v>18</v>
      </c>
      <c r="D13" s="13">
        <v>501000</v>
      </c>
      <c r="E13" s="13">
        <f t="shared" si="0"/>
        <v>626250</v>
      </c>
      <c r="F13" s="13">
        <f t="shared" si="1"/>
        <v>313125</v>
      </c>
      <c r="H13" s="14">
        <f t="shared" si="2"/>
        <v>391406</v>
      </c>
      <c r="I13" s="14">
        <f t="shared" si="3"/>
        <v>195703</v>
      </c>
      <c r="J13" s="14">
        <f t="shared" si="4"/>
        <v>501051</v>
      </c>
      <c r="L13" s="15">
        <f t="shared" si="5"/>
        <v>626313</v>
      </c>
      <c r="M13" s="15">
        <f t="shared" si="6"/>
        <v>313157</v>
      </c>
      <c r="N13" s="15">
        <f t="shared" si="7"/>
        <v>391446</v>
      </c>
      <c r="P13" s="16">
        <f t="shared" si="8"/>
        <v>195723</v>
      </c>
      <c r="Q13" s="16">
        <f t="shared" si="9"/>
        <v>500960</v>
      </c>
      <c r="R13" s="16">
        <f t="shared" si="10"/>
        <v>250480</v>
      </c>
      <c r="T13" s="816" t="s">
        <v>266</v>
      </c>
      <c r="U13" s="816"/>
      <c r="V13" s="816"/>
      <c r="W13" s="816"/>
      <c r="X13" s="816"/>
      <c r="Y13" s="816"/>
    </row>
    <row r="14" spans="1:25" ht="15.95" customHeight="1" x14ac:dyDescent="0.25">
      <c r="B14" s="174" t="s">
        <v>19</v>
      </c>
      <c r="D14" s="13">
        <v>875000</v>
      </c>
      <c r="E14" s="13">
        <f t="shared" si="0"/>
        <v>1093750</v>
      </c>
      <c r="F14" s="13">
        <f t="shared" si="1"/>
        <v>546875</v>
      </c>
      <c r="H14" s="14">
        <f t="shared" si="2"/>
        <v>683593</v>
      </c>
      <c r="I14" s="14">
        <f t="shared" si="3"/>
        <v>341797</v>
      </c>
      <c r="J14" s="14">
        <f t="shared" si="4"/>
        <v>875051</v>
      </c>
      <c r="L14" s="15">
        <f t="shared" si="5"/>
        <v>1093813</v>
      </c>
      <c r="M14" s="15">
        <f t="shared" si="6"/>
        <v>546907</v>
      </c>
      <c r="N14" s="15">
        <f t="shared" si="7"/>
        <v>683633</v>
      </c>
      <c r="P14" s="16">
        <f t="shared" si="8"/>
        <v>341817</v>
      </c>
      <c r="Q14" s="16">
        <f t="shared" si="9"/>
        <v>874960</v>
      </c>
      <c r="R14" s="16">
        <f t="shared" si="10"/>
        <v>437480</v>
      </c>
      <c r="T14" s="816"/>
      <c r="U14" s="816"/>
      <c r="V14" s="816"/>
      <c r="W14" s="816"/>
      <c r="X14" s="816"/>
      <c r="Y14" s="816"/>
    </row>
    <row r="15" spans="1:25" ht="15.95" customHeight="1" x14ac:dyDescent="0.25">
      <c r="B15" s="174" t="s">
        <v>20</v>
      </c>
      <c r="D15" s="13">
        <v>125000</v>
      </c>
      <c r="E15" s="13">
        <f t="shared" si="0"/>
        <v>156250</v>
      </c>
      <c r="F15" s="13">
        <f t="shared" si="1"/>
        <v>78125</v>
      </c>
      <c r="H15" s="14">
        <f t="shared" si="2"/>
        <v>97656</v>
      </c>
      <c r="I15" s="14">
        <f t="shared" si="3"/>
        <v>48828</v>
      </c>
      <c r="J15" s="14">
        <f t="shared" si="4"/>
        <v>125051</v>
      </c>
      <c r="L15" s="15">
        <f t="shared" si="5"/>
        <v>156313</v>
      </c>
      <c r="M15" s="15">
        <f t="shared" si="6"/>
        <v>78157</v>
      </c>
      <c r="N15" s="15">
        <f t="shared" si="7"/>
        <v>97696</v>
      </c>
      <c r="P15" s="16">
        <f t="shared" si="8"/>
        <v>48848</v>
      </c>
      <c r="Q15" s="16">
        <f t="shared" si="9"/>
        <v>124960</v>
      </c>
      <c r="R15" s="16">
        <f t="shared" si="10"/>
        <v>62480</v>
      </c>
      <c r="T15" s="763" t="s">
        <v>380</v>
      </c>
      <c r="U15" s="804" t="s">
        <v>267</v>
      </c>
      <c r="V15" s="805"/>
      <c r="W15" s="805"/>
      <c r="X15" s="805"/>
      <c r="Y15" s="806"/>
    </row>
    <row r="16" spans="1:25" ht="15.95" customHeight="1" x14ac:dyDescent="0.25">
      <c r="B16" s="174" t="s">
        <v>21</v>
      </c>
      <c r="D16" s="13">
        <v>472000</v>
      </c>
      <c r="E16" s="13">
        <f t="shared" si="0"/>
        <v>590000</v>
      </c>
      <c r="F16" s="13">
        <f t="shared" si="1"/>
        <v>295000</v>
      </c>
      <c r="H16" s="14">
        <f t="shared" si="2"/>
        <v>368750</v>
      </c>
      <c r="I16" s="14">
        <f t="shared" si="3"/>
        <v>184375</v>
      </c>
      <c r="J16" s="14">
        <f t="shared" si="4"/>
        <v>472051</v>
      </c>
      <c r="L16" s="15">
        <f t="shared" si="5"/>
        <v>590063</v>
      </c>
      <c r="M16" s="15">
        <f t="shared" si="6"/>
        <v>295032</v>
      </c>
      <c r="N16" s="15">
        <f t="shared" si="7"/>
        <v>368790</v>
      </c>
      <c r="P16" s="16">
        <f t="shared" si="8"/>
        <v>184395</v>
      </c>
      <c r="Q16" s="16">
        <f t="shared" si="9"/>
        <v>471960</v>
      </c>
      <c r="R16" s="16">
        <f t="shared" si="10"/>
        <v>235980</v>
      </c>
      <c r="T16" s="764"/>
      <c r="U16" s="807"/>
      <c r="V16" s="808"/>
      <c r="W16" s="808"/>
      <c r="X16" s="808"/>
      <c r="Y16" s="809"/>
    </row>
    <row r="17" spans="2:25" ht="15.95" customHeight="1" x14ac:dyDescent="0.25">
      <c r="B17" s="174" t="s">
        <v>22</v>
      </c>
      <c r="D17" s="13">
        <v>92000</v>
      </c>
      <c r="E17" s="13">
        <f t="shared" si="0"/>
        <v>115000</v>
      </c>
      <c r="F17" s="13">
        <f t="shared" si="1"/>
        <v>57500</v>
      </c>
      <c r="H17" s="14">
        <f t="shared" si="2"/>
        <v>71875</v>
      </c>
      <c r="I17" s="14">
        <f t="shared" si="3"/>
        <v>35938</v>
      </c>
      <c r="J17" s="14">
        <f t="shared" si="4"/>
        <v>92051</v>
      </c>
      <c r="L17" s="15">
        <f t="shared" si="5"/>
        <v>115063</v>
      </c>
      <c r="M17" s="15">
        <f t="shared" si="6"/>
        <v>57532</v>
      </c>
      <c r="N17" s="15">
        <f t="shared" si="7"/>
        <v>71915</v>
      </c>
      <c r="P17" s="16">
        <f t="shared" si="8"/>
        <v>35958</v>
      </c>
      <c r="Q17" s="16">
        <f t="shared" si="9"/>
        <v>91960</v>
      </c>
      <c r="R17" s="16">
        <f t="shared" si="10"/>
        <v>45980</v>
      </c>
      <c r="T17" s="764"/>
      <c r="U17" s="813" t="s">
        <v>778</v>
      </c>
      <c r="V17" s="814"/>
      <c r="W17" s="814"/>
      <c r="X17" s="814"/>
      <c r="Y17" s="815"/>
    </row>
    <row r="18" spans="2:25" ht="15.95" customHeight="1" x14ac:dyDescent="0.25">
      <c r="B18" s="174" t="s">
        <v>23</v>
      </c>
      <c r="D18" s="13">
        <v>714000</v>
      </c>
      <c r="E18" s="13">
        <f t="shared" si="0"/>
        <v>892500</v>
      </c>
      <c r="F18" s="13">
        <f t="shared" si="1"/>
        <v>446250</v>
      </c>
      <c r="H18" s="14">
        <f t="shared" si="2"/>
        <v>557812</v>
      </c>
      <c r="I18" s="14">
        <f t="shared" si="3"/>
        <v>278906</v>
      </c>
      <c r="J18" s="14">
        <f t="shared" si="4"/>
        <v>714051</v>
      </c>
      <c r="L18" s="15">
        <f t="shared" si="5"/>
        <v>892563</v>
      </c>
      <c r="M18" s="15">
        <f t="shared" si="6"/>
        <v>446282</v>
      </c>
      <c r="N18" s="15">
        <f t="shared" si="7"/>
        <v>557852</v>
      </c>
      <c r="P18" s="16">
        <f t="shared" si="8"/>
        <v>278926</v>
      </c>
      <c r="Q18" s="16">
        <f t="shared" si="9"/>
        <v>713960</v>
      </c>
      <c r="R18" s="16">
        <f t="shared" si="10"/>
        <v>356980</v>
      </c>
      <c r="T18" s="764"/>
      <c r="U18" s="813"/>
      <c r="V18" s="814"/>
      <c r="W18" s="814"/>
      <c r="X18" s="814"/>
      <c r="Y18" s="815"/>
    </row>
    <row r="19" spans="2:25" ht="15.95" customHeight="1" x14ac:dyDescent="0.25">
      <c r="B19" s="174" t="s">
        <v>24</v>
      </c>
      <c r="D19" s="13">
        <v>604000</v>
      </c>
      <c r="E19" s="13">
        <f t="shared" si="0"/>
        <v>755000</v>
      </c>
      <c r="F19" s="13">
        <f t="shared" si="1"/>
        <v>377500</v>
      </c>
      <c r="H19" s="14">
        <f t="shared" si="2"/>
        <v>471875</v>
      </c>
      <c r="I19" s="14">
        <f t="shared" si="3"/>
        <v>235938</v>
      </c>
      <c r="J19" s="14">
        <f t="shared" si="4"/>
        <v>604051</v>
      </c>
      <c r="L19" s="15">
        <f t="shared" si="5"/>
        <v>755063</v>
      </c>
      <c r="M19" s="15">
        <f t="shared" si="6"/>
        <v>377532</v>
      </c>
      <c r="N19" s="15">
        <f t="shared" si="7"/>
        <v>471915</v>
      </c>
      <c r="P19" s="16">
        <f t="shared" si="8"/>
        <v>235958</v>
      </c>
      <c r="Q19" s="16">
        <f t="shared" si="9"/>
        <v>603960</v>
      </c>
      <c r="R19" s="16">
        <f t="shared" si="10"/>
        <v>301980</v>
      </c>
      <c r="T19" s="764"/>
      <c r="U19" s="813"/>
      <c r="V19" s="814"/>
      <c r="W19" s="814"/>
      <c r="X19" s="814"/>
      <c r="Y19" s="815"/>
    </row>
    <row r="20" spans="2:25" ht="15.95" customHeight="1" x14ac:dyDescent="0.25">
      <c r="B20" s="174" t="s">
        <v>25</v>
      </c>
      <c r="D20" s="13">
        <v>488000</v>
      </c>
      <c r="E20" s="13">
        <f t="shared" si="0"/>
        <v>610000</v>
      </c>
      <c r="F20" s="13">
        <f t="shared" si="1"/>
        <v>305000</v>
      </c>
      <c r="H20" s="14">
        <f t="shared" si="2"/>
        <v>381250</v>
      </c>
      <c r="I20" s="14">
        <f t="shared" si="3"/>
        <v>190625</v>
      </c>
      <c r="J20" s="14">
        <f t="shared" si="4"/>
        <v>488051</v>
      </c>
      <c r="L20" s="15">
        <f t="shared" si="5"/>
        <v>610063</v>
      </c>
      <c r="M20" s="15">
        <f t="shared" si="6"/>
        <v>305032</v>
      </c>
      <c r="N20" s="15">
        <f t="shared" si="7"/>
        <v>381290</v>
      </c>
      <c r="P20" s="16">
        <f t="shared" si="8"/>
        <v>190645</v>
      </c>
      <c r="Q20" s="16">
        <f t="shared" si="9"/>
        <v>487960</v>
      </c>
      <c r="R20" s="16">
        <f t="shared" si="10"/>
        <v>243980</v>
      </c>
      <c r="T20" s="764"/>
      <c r="U20" s="807" t="s">
        <v>268</v>
      </c>
      <c r="V20" s="808"/>
      <c r="W20" s="808"/>
      <c r="X20" s="808"/>
      <c r="Y20" s="809"/>
    </row>
    <row r="21" spans="2:25" ht="15.95" customHeight="1" x14ac:dyDescent="0.25">
      <c r="B21" s="174" t="s">
        <v>26</v>
      </c>
      <c r="D21" s="13">
        <v>300000</v>
      </c>
      <c r="E21" s="13">
        <f t="shared" si="0"/>
        <v>375000</v>
      </c>
      <c r="F21" s="13">
        <f t="shared" si="1"/>
        <v>187500</v>
      </c>
      <c r="H21" s="14">
        <f t="shared" si="2"/>
        <v>234375</v>
      </c>
      <c r="I21" s="14">
        <f t="shared" si="3"/>
        <v>117188</v>
      </c>
      <c r="J21" s="14">
        <f t="shared" si="4"/>
        <v>300051</v>
      </c>
      <c r="L21" s="15">
        <f t="shared" si="5"/>
        <v>375063</v>
      </c>
      <c r="M21" s="15">
        <f t="shared" si="6"/>
        <v>187532</v>
      </c>
      <c r="N21" s="15">
        <f t="shared" si="7"/>
        <v>234415</v>
      </c>
      <c r="P21" s="16">
        <f t="shared" si="8"/>
        <v>117208</v>
      </c>
      <c r="Q21" s="16">
        <f t="shared" si="9"/>
        <v>299960</v>
      </c>
      <c r="R21" s="16">
        <f t="shared" si="10"/>
        <v>149980</v>
      </c>
      <c r="T21" s="765"/>
      <c r="U21" s="810"/>
      <c r="V21" s="811"/>
      <c r="W21" s="811"/>
      <c r="X21" s="811"/>
      <c r="Y21" s="812"/>
    </row>
    <row r="22" spans="2:25" ht="15.95" customHeight="1" x14ac:dyDescent="0.25">
      <c r="B22" s="174" t="s">
        <v>27</v>
      </c>
      <c r="D22" s="13">
        <v>275000</v>
      </c>
      <c r="E22" s="13">
        <f t="shared" si="0"/>
        <v>343750</v>
      </c>
      <c r="F22" s="13">
        <f t="shared" si="1"/>
        <v>171875</v>
      </c>
      <c r="H22" s="14">
        <f t="shared" si="2"/>
        <v>214843</v>
      </c>
      <c r="I22" s="14">
        <f t="shared" si="3"/>
        <v>107422</v>
      </c>
      <c r="J22" s="14">
        <f t="shared" si="4"/>
        <v>275051</v>
      </c>
      <c r="L22" s="15">
        <f t="shared" si="5"/>
        <v>343813</v>
      </c>
      <c r="M22" s="15">
        <f t="shared" si="6"/>
        <v>171907</v>
      </c>
      <c r="N22" s="15">
        <f t="shared" si="7"/>
        <v>214883</v>
      </c>
      <c r="P22" s="16">
        <f t="shared" si="8"/>
        <v>107442</v>
      </c>
      <c r="Q22" s="16">
        <f t="shared" si="9"/>
        <v>274960</v>
      </c>
      <c r="R22" s="16">
        <f t="shared" si="10"/>
        <v>137480</v>
      </c>
      <c r="T22" s="751" t="s">
        <v>381</v>
      </c>
      <c r="U22" s="754" t="s">
        <v>269</v>
      </c>
      <c r="V22" s="755"/>
      <c r="W22" s="755"/>
      <c r="X22" s="755"/>
      <c r="Y22" s="756"/>
    </row>
    <row r="23" spans="2:25" ht="15.95" customHeight="1" x14ac:dyDescent="0.25">
      <c r="B23" s="174" t="s">
        <v>28</v>
      </c>
      <c r="D23" s="13">
        <v>742000</v>
      </c>
      <c r="E23" s="13">
        <f t="shared" si="0"/>
        <v>927500</v>
      </c>
      <c r="F23" s="13">
        <f t="shared" si="1"/>
        <v>463750</v>
      </c>
      <c r="H23" s="14">
        <f t="shared" si="2"/>
        <v>579687</v>
      </c>
      <c r="I23" s="14">
        <f t="shared" si="3"/>
        <v>289844</v>
      </c>
      <c r="J23" s="14">
        <f t="shared" si="4"/>
        <v>742051</v>
      </c>
      <c r="L23" s="15">
        <f t="shared" si="5"/>
        <v>927563</v>
      </c>
      <c r="M23" s="15">
        <f t="shared" si="6"/>
        <v>463782</v>
      </c>
      <c r="N23" s="15">
        <f t="shared" si="7"/>
        <v>579727</v>
      </c>
      <c r="P23" s="16">
        <f t="shared" si="8"/>
        <v>289864</v>
      </c>
      <c r="Q23" s="16">
        <f t="shared" si="9"/>
        <v>741960</v>
      </c>
      <c r="R23" s="16">
        <f t="shared" si="10"/>
        <v>370980</v>
      </c>
      <c r="T23" s="752"/>
      <c r="U23" s="757"/>
      <c r="V23" s="758"/>
      <c r="W23" s="758"/>
      <c r="X23" s="758"/>
      <c r="Y23" s="759"/>
    </row>
    <row r="24" spans="2:25" ht="15.95" customHeight="1" x14ac:dyDescent="0.25">
      <c r="B24" s="174" t="s">
        <v>29</v>
      </c>
      <c r="D24" s="13">
        <v>952400</v>
      </c>
      <c r="E24" s="13">
        <f t="shared" si="0"/>
        <v>1190500</v>
      </c>
      <c r="F24" s="13">
        <f t="shared" si="1"/>
        <v>595250</v>
      </c>
      <c r="H24" s="14">
        <f t="shared" si="2"/>
        <v>744062</v>
      </c>
      <c r="I24" s="14">
        <f t="shared" si="3"/>
        <v>372031</v>
      </c>
      <c r="J24" s="14">
        <f t="shared" si="4"/>
        <v>952451</v>
      </c>
      <c r="L24" s="15">
        <f t="shared" si="5"/>
        <v>1190563</v>
      </c>
      <c r="M24" s="15">
        <f t="shared" si="6"/>
        <v>595282</v>
      </c>
      <c r="N24" s="15">
        <f t="shared" si="7"/>
        <v>744102</v>
      </c>
      <c r="P24" s="16">
        <f t="shared" si="8"/>
        <v>372051</v>
      </c>
      <c r="Q24" s="16">
        <f t="shared" si="9"/>
        <v>952360</v>
      </c>
      <c r="R24" s="16">
        <f t="shared" si="10"/>
        <v>476180</v>
      </c>
      <c r="T24" s="752"/>
      <c r="U24" s="757"/>
      <c r="V24" s="758"/>
      <c r="W24" s="758"/>
      <c r="X24" s="758"/>
      <c r="Y24" s="759"/>
    </row>
    <row r="25" spans="2:25" ht="15.95" customHeight="1" x14ac:dyDescent="0.25">
      <c r="B25" s="174" t="s">
        <v>30</v>
      </c>
      <c r="D25" s="13">
        <v>159870</v>
      </c>
      <c r="E25" s="13">
        <f t="shared" si="0"/>
        <v>199837</v>
      </c>
      <c r="F25" s="13">
        <f t="shared" si="1"/>
        <v>99919</v>
      </c>
      <c r="H25" s="14">
        <f t="shared" si="2"/>
        <v>124898</v>
      </c>
      <c r="I25" s="14">
        <f t="shared" si="3"/>
        <v>62449</v>
      </c>
      <c r="J25" s="14">
        <f t="shared" si="4"/>
        <v>159921</v>
      </c>
      <c r="L25" s="15">
        <f t="shared" si="5"/>
        <v>199901</v>
      </c>
      <c r="M25" s="15">
        <f t="shared" si="6"/>
        <v>99951</v>
      </c>
      <c r="N25" s="15">
        <f t="shared" si="7"/>
        <v>124938</v>
      </c>
      <c r="P25" s="16">
        <f t="shared" si="8"/>
        <v>62469</v>
      </c>
      <c r="Q25" s="16">
        <f t="shared" si="9"/>
        <v>159830</v>
      </c>
      <c r="R25" s="16">
        <f t="shared" si="10"/>
        <v>79915</v>
      </c>
      <c r="T25" s="752"/>
      <c r="U25" s="757" t="s">
        <v>270</v>
      </c>
      <c r="V25" s="758"/>
      <c r="W25" s="758"/>
      <c r="X25" s="758"/>
      <c r="Y25" s="759"/>
    </row>
    <row r="26" spans="2:25" ht="15.95" customHeight="1" x14ac:dyDescent="0.25">
      <c r="B26" s="174" t="s">
        <v>31</v>
      </c>
      <c r="D26" s="13">
        <v>852000</v>
      </c>
      <c r="E26" s="13">
        <f t="shared" si="0"/>
        <v>1065000</v>
      </c>
      <c r="F26" s="13">
        <f t="shared" si="1"/>
        <v>532500</v>
      </c>
      <c r="H26" s="14">
        <f t="shared" si="2"/>
        <v>665625</v>
      </c>
      <c r="I26" s="14">
        <f t="shared" si="3"/>
        <v>332813</v>
      </c>
      <c r="J26" s="14">
        <f t="shared" si="4"/>
        <v>852051</v>
      </c>
      <c r="L26" s="15">
        <f t="shared" si="5"/>
        <v>1065063</v>
      </c>
      <c r="M26" s="15">
        <f t="shared" si="6"/>
        <v>532532</v>
      </c>
      <c r="N26" s="15">
        <f t="shared" si="7"/>
        <v>665665</v>
      </c>
      <c r="P26" s="16">
        <f t="shared" si="8"/>
        <v>332833</v>
      </c>
      <c r="Q26" s="16">
        <f t="shared" si="9"/>
        <v>851960</v>
      </c>
      <c r="R26" s="16">
        <f t="shared" si="10"/>
        <v>425980</v>
      </c>
      <c r="T26" s="753"/>
      <c r="U26" s="789"/>
      <c r="V26" s="790"/>
      <c r="W26" s="790"/>
      <c r="X26" s="790"/>
      <c r="Y26" s="791"/>
    </row>
    <row r="27" spans="2:25" ht="15.95" customHeight="1" x14ac:dyDescent="0.25">
      <c r="B27" s="174" t="s">
        <v>32</v>
      </c>
      <c r="D27" s="13">
        <v>635000</v>
      </c>
      <c r="E27" s="13">
        <f t="shared" si="0"/>
        <v>793750</v>
      </c>
      <c r="F27" s="13">
        <f t="shared" si="1"/>
        <v>396875</v>
      </c>
      <c r="H27" s="14">
        <f t="shared" si="2"/>
        <v>496093</v>
      </c>
      <c r="I27" s="14">
        <f t="shared" si="3"/>
        <v>248047</v>
      </c>
      <c r="J27" s="14">
        <f t="shared" si="4"/>
        <v>635051</v>
      </c>
      <c r="L27" s="15">
        <f t="shared" si="5"/>
        <v>793813</v>
      </c>
      <c r="M27" s="15">
        <f t="shared" si="6"/>
        <v>396907</v>
      </c>
      <c r="N27" s="15">
        <f t="shared" si="7"/>
        <v>496133</v>
      </c>
      <c r="P27" s="16">
        <f t="shared" si="8"/>
        <v>248067</v>
      </c>
      <c r="Q27" s="16">
        <f t="shared" si="9"/>
        <v>634960</v>
      </c>
      <c r="R27" s="16">
        <f t="shared" si="10"/>
        <v>317480</v>
      </c>
      <c r="T27" s="766" t="s">
        <v>383</v>
      </c>
      <c r="U27" s="769" t="s">
        <v>271</v>
      </c>
      <c r="V27" s="770"/>
      <c r="W27" s="770"/>
      <c r="X27" s="770"/>
      <c r="Y27" s="771"/>
    </row>
    <row r="28" spans="2:25" ht="15.95" customHeight="1" x14ac:dyDescent="0.25">
      <c r="B28" s="174" t="s">
        <v>33</v>
      </c>
      <c r="D28" s="13">
        <v>785000</v>
      </c>
      <c r="E28" s="13">
        <f t="shared" si="0"/>
        <v>981250</v>
      </c>
      <c r="F28" s="13">
        <f t="shared" si="1"/>
        <v>490625</v>
      </c>
      <c r="H28" s="14">
        <f t="shared" si="2"/>
        <v>613281</v>
      </c>
      <c r="I28" s="14">
        <f t="shared" si="3"/>
        <v>306641</v>
      </c>
      <c r="J28" s="14">
        <f t="shared" si="4"/>
        <v>785051</v>
      </c>
      <c r="L28" s="15">
        <f t="shared" si="5"/>
        <v>981313</v>
      </c>
      <c r="M28" s="15">
        <f t="shared" si="6"/>
        <v>490657</v>
      </c>
      <c r="N28" s="15">
        <f t="shared" si="7"/>
        <v>613321</v>
      </c>
      <c r="P28" s="16">
        <f t="shared" si="8"/>
        <v>306661</v>
      </c>
      <c r="Q28" s="16">
        <f t="shared" si="9"/>
        <v>784960</v>
      </c>
      <c r="R28" s="16">
        <f t="shared" si="10"/>
        <v>392480</v>
      </c>
      <c r="T28" s="767"/>
      <c r="U28" s="772"/>
      <c r="V28" s="773"/>
      <c r="W28" s="773"/>
      <c r="X28" s="773"/>
      <c r="Y28" s="774"/>
    </row>
    <row r="29" spans="2:25" ht="15.95" customHeight="1" x14ac:dyDescent="0.25">
      <c r="B29" s="174" t="s">
        <v>34</v>
      </c>
      <c r="D29" s="13">
        <v>654000</v>
      </c>
      <c r="E29" s="13">
        <f t="shared" si="0"/>
        <v>817500</v>
      </c>
      <c r="F29" s="13">
        <f t="shared" si="1"/>
        <v>408750</v>
      </c>
      <c r="H29" s="14">
        <f t="shared" si="2"/>
        <v>510937</v>
      </c>
      <c r="I29" s="14">
        <f t="shared" si="3"/>
        <v>255469</v>
      </c>
      <c r="J29" s="14">
        <f t="shared" si="4"/>
        <v>654051</v>
      </c>
      <c r="L29" s="15">
        <f t="shared" si="5"/>
        <v>817563</v>
      </c>
      <c r="M29" s="15">
        <f t="shared" si="6"/>
        <v>408782</v>
      </c>
      <c r="N29" s="15">
        <f t="shared" si="7"/>
        <v>510977</v>
      </c>
      <c r="P29" s="16">
        <f t="shared" si="8"/>
        <v>255489</v>
      </c>
      <c r="Q29" s="16">
        <f t="shared" si="9"/>
        <v>653960</v>
      </c>
      <c r="R29" s="16">
        <f t="shared" si="10"/>
        <v>326980</v>
      </c>
      <c r="T29" s="767"/>
      <c r="U29" s="772"/>
      <c r="V29" s="773"/>
      <c r="W29" s="773"/>
      <c r="X29" s="773"/>
      <c r="Y29" s="774"/>
    </row>
    <row r="30" spans="2:25" ht="15.95" customHeight="1" x14ac:dyDescent="0.25">
      <c r="B30" s="174" t="s">
        <v>35</v>
      </c>
      <c r="D30" s="13">
        <v>852000</v>
      </c>
      <c r="E30" s="13">
        <f t="shared" si="0"/>
        <v>1065000</v>
      </c>
      <c r="F30" s="13">
        <f t="shared" si="1"/>
        <v>532500</v>
      </c>
      <c r="H30" s="14">
        <f t="shared" si="2"/>
        <v>665625</v>
      </c>
      <c r="I30" s="14">
        <f t="shared" si="3"/>
        <v>332813</v>
      </c>
      <c r="J30" s="14">
        <f t="shared" si="4"/>
        <v>852051</v>
      </c>
      <c r="L30" s="15">
        <f t="shared" si="5"/>
        <v>1065063</v>
      </c>
      <c r="M30" s="15">
        <f t="shared" si="6"/>
        <v>532532</v>
      </c>
      <c r="N30" s="15">
        <f t="shared" si="7"/>
        <v>665665</v>
      </c>
      <c r="P30" s="16">
        <f t="shared" si="8"/>
        <v>332833</v>
      </c>
      <c r="Q30" s="16">
        <f t="shared" si="9"/>
        <v>851960</v>
      </c>
      <c r="R30" s="16">
        <f t="shared" si="10"/>
        <v>425980</v>
      </c>
      <c r="T30" s="767"/>
      <c r="U30" s="772" t="s">
        <v>272</v>
      </c>
      <c r="V30" s="773"/>
      <c r="W30" s="773"/>
      <c r="X30" s="773"/>
      <c r="Y30" s="774"/>
    </row>
    <row r="31" spans="2:25" ht="15.95" customHeight="1" x14ac:dyDescent="0.25">
      <c r="B31" s="174" t="s">
        <v>36</v>
      </c>
      <c r="D31" s="13">
        <v>268000</v>
      </c>
      <c r="E31" s="13">
        <f t="shared" si="0"/>
        <v>335000</v>
      </c>
      <c r="F31" s="13">
        <f t="shared" si="1"/>
        <v>167500</v>
      </c>
      <c r="H31" s="14">
        <f t="shared" si="2"/>
        <v>209375</v>
      </c>
      <c r="I31" s="14">
        <f t="shared" si="3"/>
        <v>104688</v>
      </c>
      <c r="J31" s="14">
        <f t="shared" si="4"/>
        <v>268051</v>
      </c>
      <c r="L31" s="15">
        <f t="shared" si="5"/>
        <v>335063</v>
      </c>
      <c r="M31" s="15">
        <f t="shared" si="6"/>
        <v>167532</v>
      </c>
      <c r="N31" s="15">
        <f t="shared" si="7"/>
        <v>209415</v>
      </c>
      <c r="P31" s="16">
        <f t="shared" si="8"/>
        <v>104708</v>
      </c>
      <c r="Q31" s="16">
        <f t="shared" si="9"/>
        <v>267960</v>
      </c>
      <c r="R31" s="16">
        <f t="shared" si="10"/>
        <v>133980</v>
      </c>
      <c r="T31" s="767"/>
      <c r="U31" s="772"/>
      <c r="V31" s="773"/>
      <c r="W31" s="773"/>
      <c r="X31" s="773"/>
      <c r="Y31" s="774"/>
    </row>
    <row r="32" spans="2:25" ht="15.95" customHeight="1" x14ac:dyDescent="0.25">
      <c r="B32" s="174" t="s">
        <v>37</v>
      </c>
      <c r="D32" s="13">
        <v>984000</v>
      </c>
      <c r="E32" s="13">
        <f t="shared" si="0"/>
        <v>1230000</v>
      </c>
      <c r="F32" s="13">
        <f t="shared" si="1"/>
        <v>615000</v>
      </c>
      <c r="H32" s="14">
        <f t="shared" si="2"/>
        <v>768750</v>
      </c>
      <c r="I32" s="14">
        <f t="shared" si="3"/>
        <v>384375</v>
      </c>
      <c r="J32" s="14">
        <f t="shared" si="4"/>
        <v>984051</v>
      </c>
      <c r="K32" s="18"/>
      <c r="L32" s="15">
        <f t="shared" si="5"/>
        <v>1230063</v>
      </c>
      <c r="M32" s="15">
        <f t="shared" si="6"/>
        <v>615032</v>
      </c>
      <c r="N32" s="15">
        <f t="shared" si="7"/>
        <v>768790</v>
      </c>
      <c r="P32" s="16">
        <f t="shared" si="8"/>
        <v>384395</v>
      </c>
      <c r="Q32" s="16">
        <f t="shared" si="9"/>
        <v>983960</v>
      </c>
      <c r="R32" s="16">
        <f t="shared" si="10"/>
        <v>491980</v>
      </c>
      <c r="T32" s="767"/>
      <c r="U32" s="772"/>
      <c r="V32" s="773"/>
      <c r="W32" s="773"/>
      <c r="X32" s="773"/>
      <c r="Y32" s="774"/>
    </row>
    <row r="33" spans="2:25" ht="15.95" customHeight="1" x14ac:dyDescent="0.25">
      <c r="B33" s="174" t="s">
        <v>38</v>
      </c>
      <c r="D33" s="13">
        <v>127000</v>
      </c>
      <c r="E33" s="13">
        <f t="shared" si="0"/>
        <v>158750</v>
      </c>
      <c r="F33" s="13">
        <f t="shared" si="1"/>
        <v>79375</v>
      </c>
      <c r="H33" s="14">
        <f t="shared" si="2"/>
        <v>99218</v>
      </c>
      <c r="I33" s="14">
        <f t="shared" si="3"/>
        <v>49609</v>
      </c>
      <c r="J33" s="14">
        <f t="shared" si="4"/>
        <v>127051</v>
      </c>
      <c r="L33" s="15">
        <f t="shared" si="5"/>
        <v>158813</v>
      </c>
      <c r="M33" s="15">
        <f t="shared" si="6"/>
        <v>79407</v>
      </c>
      <c r="N33" s="15">
        <f t="shared" si="7"/>
        <v>99258</v>
      </c>
      <c r="P33" s="16">
        <f t="shared" si="8"/>
        <v>49629</v>
      </c>
      <c r="Q33" s="16">
        <f t="shared" si="9"/>
        <v>126960</v>
      </c>
      <c r="R33" s="16">
        <f t="shared" si="10"/>
        <v>63480</v>
      </c>
      <c r="T33" s="767"/>
      <c r="U33" s="772" t="s">
        <v>273</v>
      </c>
      <c r="V33" s="773"/>
      <c r="W33" s="773"/>
      <c r="X33" s="773"/>
      <c r="Y33" s="774"/>
    </row>
    <row r="34" spans="2:25" ht="15.95" customHeight="1" x14ac:dyDescent="0.25">
      <c r="B34" s="174" t="s">
        <v>39</v>
      </c>
      <c r="D34" s="13">
        <v>863000</v>
      </c>
      <c r="E34" s="13">
        <f t="shared" si="0"/>
        <v>1078750</v>
      </c>
      <c r="F34" s="13">
        <f t="shared" si="1"/>
        <v>539375</v>
      </c>
      <c r="H34" s="14">
        <f t="shared" ref="H34:H56" si="11">F34+INT(F34/4)</f>
        <v>674218</v>
      </c>
      <c r="I34" s="14">
        <f t="shared" si="3"/>
        <v>337109</v>
      </c>
      <c r="J34" s="14">
        <f t="shared" ref="J34:J56" si="12">+D34+51</f>
        <v>863051</v>
      </c>
      <c r="L34" s="15">
        <f t="shared" ref="L34:L56" si="13">J34+INT(J34/4)</f>
        <v>1078813</v>
      </c>
      <c r="M34" s="15">
        <f t="shared" si="6"/>
        <v>539407</v>
      </c>
      <c r="N34" s="15">
        <f t="shared" si="7"/>
        <v>674258</v>
      </c>
      <c r="P34" s="16">
        <f t="shared" ref="P34:P56" si="14">N34-INT(N34/2)</f>
        <v>337129</v>
      </c>
      <c r="Q34" s="16">
        <f t="shared" ref="Q34:Q56" si="15">+D34-40</f>
        <v>862960</v>
      </c>
      <c r="R34" s="16">
        <f t="shared" si="10"/>
        <v>431480</v>
      </c>
      <c r="T34" s="768"/>
      <c r="U34" s="775"/>
      <c r="V34" s="776"/>
      <c r="W34" s="776"/>
      <c r="X34" s="776"/>
      <c r="Y34" s="777"/>
    </row>
    <row r="35" spans="2:25" ht="15.95" customHeight="1" x14ac:dyDescent="0.25">
      <c r="B35" s="174" t="s">
        <v>40</v>
      </c>
      <c r="D35" s="13">
        <v>48500</v>
      </c>
      <c r="E35" s="13">
        <f t="shared" si="0"/>
        <v>60625</v>
      </c>
      <c r="F35" s="13">
        <f t="shared" si="1"/>
        <v>30313</v>
      </c>
      <c r="H35" s="14">
        <f t="shared" si="11"/>
        <v>37891</v>
      </c>
      <c r="I35" s="14">
        <f t="shared" si="3"/>
        <v>18946</v>
      </c>
      <c r="J35" s="14">
        <f t="shared" si="12"/>
        <v>48551</v>
      </c>
      <c r="L35" s="15">
        <f t="shared" si="13"/>
        <v>60688</v>
      </c>
      <c r="M35" s="15">
        <f t="shared" si="6"/>
        <v>30344</v>
      </c>
      <c r="N35" s="15">
        <f t="shared" si="7"/>
        <v>37930</v>
      </c>
      <c r="P35" s="16">
        <f t="shared" si="14"/>
        <v>18965</v>
      </c>
      <c r="Q35" s="16">
        <f t="shared" si="15"/>
        <v>48460</v>
      </c>
      <c r="R35" s="16">
        <f t="shared" si="10"/>
        <v>24230</v>
      </c>
      <c r="T35" s="748" t="s">
        <v>382</v>
      </c>
      <c r="U35" s="778" t="s">
        <v>710</v>
      </c>
      <c r="V35" s="779"/>
      <c r="W35" s="779"/>
      <c r="X35" s="779"/>
      <c r="Y35" s="780"/>
    </row>
    <row r="36" spans="2:25" ht="15.95" customHeight="1" x14ac:dyDescent="0.25">
      <c r="B36" s="174" t="s">
        <v>41</v>
      </c>
      <c r="D36" s="13">
        <v>63250</v>
      </c>
      <c r="E36" s="13">
        <f t="shared" si="0"/>
        <v>79062</v>
      </c>
      <c r="F36" s="13">
        <f t="shared" si="1"/>
        <v>39531</v>
      </c>
      <c r="H36" s="14">
        <f t="shared" si="11"/>
        <v>49413</v>
      </c>
      <c r="I36" s="14">
        <f t="shared" si="3"/>
        <v>24707</v>
      </c>
      <c r="J36" s="14">
        <f t="shared" si="12"/>
        <v>63301</v>
      </c>
      <c r="L36" s="15">
        <f t="shared" si="13"/>
        <v>79126</v>
      </c>
      <c r="M36" s="15">
        <f t="shared" si="6"/>
        <v>39563</v>
      </c>
      <c r="N36" s="15">
        <f t="shared" si="7"/>
        <v>49453</v>
      </c>
      <c r="P36" s="16">
        <f t="shared" si="14"/>
        <v>24727</v>
      </c>
      <c r="Q36" s="16">
        <f t="shared" si="15"/>
        <v>63210</v>
      </c>
      <c r="R36" s="16">
        <f t="shared" si="10"/>
        <v>31605</v>
      </c>
      <c r="T36" s="749"/>
      <c r="U36" s="781"/>
      <c r="V36" s="782"/>
      <c r="W36" s="782"/>
      <c r="X36" s="782"/>
      <c r="Y36" s="783"/>
    </row>
    <row r="37" spans="2:25" ht="15.95" customHeight="1" x14ac:dyDescent="0.25">
      <c r="B37" s="174" t="s">
        <v>42</v>
      </c>
      <c r="D37" s="13">
        <v>74000</v>
      </c>
      <c r="E37" s="13">
        <f t="shared" si="0"/>
        <v>92500</v>
      </c>
      <c r="F37" s="13">
        <f t="shared" si="1"/>
        <v>46250</v>
      </c>
      <c r="H37" s="14">
        <f t="shared" si="11"/>
        <v>57812</v>
      </c>
      <c r="I37" s="14">
        <f t="shared" si="3"/>
        <v>28906</v>
      </c>
      <c r="J37" s="14">
        <f t="shared" si="12"/>
        <v>74051</v>
      </c>
      <c r="L37" s="15">
        <f t="shared" si="13"/>
        <v>92563</v>
      </c>
      <c r="M37" s="15">
        <f t="shared" si="6"/>
        <v>46282</v>
      </c>
      <c r="N37" s="15">
        <f t="shared" si="7"/>
        <v>57852</v>
      </c>
      <c r="P37" s="16">
        <f t="shared" si="14"/>
        <v>28926</v>
      </c>
      <c r="Q37" s="16">
        <f t="shared" si="15"/>
        <v>73960</v>
      </c>
      <c r="R37" s="16">
        <f t="shared" si="10"/>
        <v>36980</v>
      </c>
      <c r="T37" s="749"/>
      <c r="U37" s="781"/>
      <c r="V37" s="782"/>
      <c r="W37" s="782"/>
      <c r="X37" s="782"/>
      <c r="Y37" s="783"/>
    </row>
    <row r="38" spans="2:25" ht="15.95" customHeight="1" x14ac:dyDescent="0.25">
      <c r="B38" s="174" t="s">
        <v>43</v>
      </c>
      <c r="D38" s="13">
        <v>86000</v>
      </c>
      <c r="E38" s="13">
        <f t="shared" si="0"/>
        <v>107500</v>
      </c>
      <c r="F38" s="13">
        <f t="shared" si="1"/>
        <v>53750</v>
      </c>
      <c r="H38" s="14">
        <f t="shared" si="11"/>
        <v>67187</v>
      </c>
      <c r="I38" s="14">
        <f t="shared" si="3"/>
        <v>33594</v>
      </c>
      <c r="J38" s="14">
        <f t="shared" si="12"/>
        <v>86051</v>
      </c>
      <c r="L38" s="15">
        <f t="shared" si="13"/>
        <v>107563</v>
      </c>
      <c r="M38" s="15">
        <f t="shared" si="6"/>
        <v>53782</v>
      </c>
      <c r="N38" s="15">
        <f t="shared" si="7"/>
        <v>67227</v>
      </c>
      <c r="P38" s="16">
        <f t="shared" si="14"/>
        <v>33614</v>
      </c>
      <c r="Q38" s="16">
        <f t="shared" si="15"/>
        <v>85960</v>
      </c>
      <c r="R38" s="16">
        <f t="shared" si="10"/>
        <v>42980</v>
      </c>
      <c r="T38" s="749"/>
      <c r="U38" s="781" t="s">
        <v>274</v>
      </c>
      <c r="V38" s="782"/>
      <c r="W38" s="782"/>
      <c r="X38" s="782"/>
      <c r="Y38" s="783"/>
    </row>
    <row r="39" spans="2:25" ht="15.95" customHeight="1" x14ac:dyDescent="0.25">
      <c r="B39" s="174" t="s">
        <v>44</v>
      </c>
      <c r="D39" s="13">
        <v>35000</v>
      </c>
      <c r="E39" s="13">
        <f t="shared" si="0"/>
        <v>43750</v>
      </c>
      <c r="F39" s="13">
        <f t="shared" si="1"/>
        <v>21875</v>
      </c>
      <c r="H39" s="14">
        <f t="shared" si="11"/>
        <v>27343</v>
      </c>
      <c r="I39" s="14">
        <f t="shared" si="3"/>
        <v>13672</v>
      </c>
      <c r="J39" s="14">
        <f t="shared" si="12"/>
        <v>35051</v>
      </c>
      <c r="L39" s="15">
        <f t="shared" si="13"/>
        <v>43813</v>
      </c>
      <c r="M39" s="15">
        <f t="shared" si="6"/>
        <v>21907</v>
      </c>
      <c r="N39" s="15">
        <f t="shared" si="7"/>
        <v>27383</v>
      </c>
      <c r="P39" s="16">
        <f t="shared" si="14"/>
        <v>13692</v>
      </c>
      <c r="Q39" s="16">
        <f t="shared" si="15"/>
        <v>34960</v>
      </c>
      <c r="R39" s="16">
        <f t="shared" si="10"/>
        <v>17480</v>
      </c>
      <c r="T39" s="749"/>
      <c r="U39" s="781"/>
      <c r="V39" s="782"/>
      <c r="W39" s="782"/>
      <c r="X39" s="782"/>
      <c r="Y39" s="783"/>
    </row>
    <row r="40" spans="2:25" ht="15.95" customHeight="1" x14ac:dyDescent="0.25">
      <c r="B40" s="174" t="s">
        <v>45</v>
      </c>
      <c r="D40" s="13">
        <v>49000</v>
      </c>
      <c r="E40" s="13">
        <f t="shared" si="0"/>
        <v>61250</v>
      </c>
      <c r="F40" s="13">
        <f t="shared" si="1"/>
        <v>30625</v>
      </c>
      <c r="H40" s="14">
        <f t="shared" si="11"/>
        <v>38281</v>
      </c>
      <c r="I40" s="14">
        <f t="shared" si="3"/>
        <v>19141</v>
      </c>
      <c r="J40" s="14">
        <f t="shared" si="12"/>
        <v>49051</v>
      </c>
      <c r="L40" s="15">
        <f t="shared" si="13"/>
        <v>61313</v>
      </c>
      <c r="M40" s="15">
        <f t="shared" si="6"/>
        <v>30657</v>
      </c>
      <c r="N40" s="15">
        <f t="shared" si="7"/>
        <v>38321</v>
      </c>
      <c r="P40" s="16">
        <f t="shared" si="14"/>
        <v>19161</v>
      </c>
      <c r="Q40" s="16">
        <f t="shared" si="15"/>
        <v>48960</v>
      </c>
      <c r="R40" s="16">
        <f t="shared" si="10"/>
        <v>24480</v>
      </c>
      <c r="T40" s="749"/>
      <c r="U40" s="781"/>
      <c r="V40" s="782"/>
      <c r="W40" s="782"/>
      <c r="X40" s="782"/>
      <c r="Y40" s="783"/>
    </row>
    <row r="41" spans="2:25" ht="15.95" customHeight="1" x14ac:dyDescent="0.25">
      <c r="B41" s="174" t="s">
        <v>46</v>
      </c>
      <c r="D41" s="13">
        <v>92000</v>
      </c>
      <c r="E41" s="13">
        <f t="shared" si="0"/>
        <v>115000</v>
      </c>
      <c r="F41" s="13">
        <f t="shared" si="1"/>
        <v>57500</v>
      </c>
      <c r="H41" s="14">
        <f t="shared" si="11"/>
        <v>71875</v>
      </c>
      <c r="I41" s="14">
        <f t="shared" si="3"/>
        <v>35938</v>
      </c>
      <c r="J41" s="14">
        <f t="shared" si="12"/>
        <v>92051</v>
      </c>
      <c r="L41" s="15">
        <f t="shared" si="13"/>
        <v>115063</v>
      </c>
      <c r="M41" s="15">
        <f t="shared" si="6"/>
        <v>57532</v>
      </c>
      <c r="N41" s="15">
        <f t="shared" si="7"/>
        <v>71915</v>
      </c>
      <c r="P41" s="16">
        <f t="shared" si="14"/>
        <v>35958</v>
      </c>
      <c r="Q41" s="16">
        <f t="shared" si="15"/>
        <v>91960</v>
      </c>
      <c r="R41" s="16">
        <f t="shared" si="10"/>
        <v>45980</v>
      </c>
      <c r="T41" s="750"/>
      <c r="U41" s="784"/>
      <c r="V41" s="785"/>
      <c r="W41" s="785"/>
      <c r="X41" s="785"/>
      <c r="Y41" s="786"/>
    </row>
    <row r="42" spans="2:25" ht="15.95" customHeight="1" x14ac:dyDescent="0.25">
      <c r="B42" s="174" t="s">
        <v>47</v>
      </c>
      <c r="D42" s="13">
        <v>74650</v>
      </c>
      <c r="E42" s="13">
        <f t="shared" si="0"/>
        <v>93312</v>
      </c>
      <c r="F42" s="13">
        <f t="shared" si="1"/>
        <v>46656</v>
      </c>
      <c r="H42" s="14">
        <f t="shared" si="11"/>
        <v>58320</v>
      </c>
      <c r="I42" s="14">
        <f t="shared" si="3"/>
        <v>29160</v>
      </c>
      <c r="J42" s="14">
        <f t="shared" si="12"/>
        <v>74701</v>
      </c>
      <c r="L42" s="15">
        <f t="shared" si="13"/>
        <v>93376</v>
      </c>
      <c r="M42" s="15">
        <f t="shared" si="6"/>
        <v>46688</v>
      </c>
      <c r="N42" s="15">
        <f t="shared" si="7"/>
        <v>58360</v>
      </c>
      <c r="P42" s="16">
        <f t="shared" si="14"/>
        <v>29180</v>
      </c>
      <c r="Q42" s="16">
        <f t="shared" si="15"/>
        <v>74610</v>
      </c>
      <c r="R42" s="16">
        <f t="shared" si="10"/>
        <v>37305</v>
      </c>
    </row>
    <row r="43" spans="2:25" ht="15.95" customHeight="1" x14ac:dyDescent="0.25">
      <c r="B43" s="174" t="s">
        <v>48</v>
      </c>
      <c r="D43" s="13">
        <v>63250</v>
      </c>
      <c r="E43" s="13">
        <f t="shared" si="0"/>
        <v>79062</v>
      </c>
      <c r="F43" s="13">
        <f t="shared" si="1"/>
        <v>39531</v>
      </c>
      <c r="H43" s="14">
        <f t="shared" si="11"/>
        <v>49413</v>
      </c>
      <c r="I43" s="14">
        <f t="shared" si="3"/>
        <v>24707</v>
      </c>
      <c r="J43" s="14">
        <f t="shared" si="12"/>
        <v>63301</v>
      </c>
      <c r="L43" s="15">
        <f t="shared" si="13"/>
        <v>79126</v>
      </c>
      <c r="M43" s="15">
        <f t="shared" si="6"/>
        <v>39563</v>
      </c>
      <c r="N43" s="15">
        <f t="shared" si="7"/>
        <v>49453</v>
      </c>
      <c r="P43" s="16">
        <f t="shared" si="14"/>
        <v>24727</v>
      </c>
      <c r="Q43" s="16">
        <f t="shared" si="15"/>
        <v>63210</v>
      </c>
      <c r="R43" s="16">
        <f t="shared" si="10"/>
        <v>31605</v>
      </c>
    </row>
    <row r="44" spans="2:25" ht="15.95" customHeight="1" x14ac:dyDescent="0.25">
      <c r="B44" s="174" t="s">
        <v>49</v>
      </c>
      <c r="D44" s="13">
        <v>85250</v>
      </c>
      <c r="E44" s="13">
        <f t="shared" si="0"/>
        <v>106562</v>
      </c>
      <c r="F44" s="13">
        <f t="shared" si="1"/>
        <v>53281</v>
      </c>
      <c r="H44" s="14">
        <f t="shared" si="11"/>
        <v>66601</v>
      </c>
      <c r="I44" s="14">
        <f t="shared" si="3"/>
        <v>33301</v>
      </c>
      <c r="J44" s="14">
        <f t="shared" si="12"/>
        <v>85301</v>
      </c>
      <c r="L44" s="15">
        <f t="shared" si="13"/>
        <v>106626</v>
      </c>
      <c r="M44" s="15">
        <f t="shared" si="6"/>
        <v>53313</v>
      </c>
      <c r="N44" s="15">
        <f t="shared" si="7"/>
        <v>66641</v>
      </c>
      <c r="P44" s="16">
        <f t="shared" si="14"/>
        <v>33321</v>
      </c>
      <c r="Q44" s="16">
        <f t="shared" si="15"/>
        <v>85210</v>
      </c>
      <c r="R44" s="16">
        <f t="shared" si="10"/>
        <v>42605</v>
      </c>
    </row>
    <row r="45" spans="2:25" ht="15.95" customHeight="1" x14ac:dyDescent="0.25">
      <c r="B45" s="174" t="s">
        <v>50</v>
      </c>
      <c r="D45" s="13">
        <v>956750</v>
      </c>
      <c r="E45" s="13">
        <f t="shared" si="0"/>
        <v>1195937</v>
      </c>
      <c r="F45" s="13">
        <f t="shared" si="1"/>
        <v>597969</v>
      </c>
      <c r="H45" s="14">
        <f t="shared" si="11"/>
        <v>747461</v>
      </c>
      <c r="I45" s="14">
        <f t="shared" si="3"/>
        <v>373731</v>
      </c>
      <c r="J45" s="14">
        <f t="shared" si="12"/>
        <v>956801</v>
      </c>
      <c r="L45" s="15">
        <f t="shared" si="13"/>
        <v>1196001</v>
      </c>
      <c r="M45" s="15">
        <f t="shared" si="6"/>
        <v>598001</v>
      </c>
      <c r="N45" s="15">
        <f t="shared" si="7"/>
        <v>747501</v>
      </c>
      <c r="P45" s="16">
        <f t="shared" si="14"/>
        <v>373751</v>
      </c>
      <c r="Q45" s="16">
        <f t="shared" si="15"/>
        <v>956710</v>
      </c>
      <c r="R45" s="16">
        <f t="shared" si="10"/>
        <v>478355</v>
      </c>
    </row>
    <row r="46" spans="2:25" ht="15.95" customHeight="1" x14ac:dyDescent="0.25">
      <c r="B46" s="174" t="s">
        <v>51</v>
      </c>
      <c r="D46" s="13">
        <v>85250</v>
      </c>
      <c r="E46" s="13">
        <f t="shared" si="0"/>
        <v>106562</v>
      </c>
      <c r="F46" s="13">
        <f t="shared" si="1"/>
        <v>53281</v>
      </c>
      <c r="H46" s="14">
        <f t="shared" si="11"/>
        <v>66601</v>
      </c>
      <c r="I46" s="14">
        <f t="shared" si="3"/>
        <v>33301</v>
      </c>
      <c r="J46" s="14">
        <f t="shared" si="12"/>
        <v>85301</v>
      </c>
      <c r="L46" s="15">
        <f t="shared" si="13"/>
        <v>106626</v>
      </c>
      <c r="M46" s="15">
        <f t="shared" si="6"/>
        <v>53313</v>
      </c>
      <c r="N46" s="15">
        <f t="shared" si="7"/>
        <v>66641</v>
      </c>
      <c r="P46" s="16">
        <f t="shared" si="14"/>
        <v>33321</v>
      </c>
      <c r="Q46" s="16">
        <f t="shared" si="15"/>
        <v>85210</v>
      </c>
      <c r="R46" s="16">
        <f t="shared" si="10"/>
        <v>42605</v>
      </c>
    </row>
    <row r="47" spans="2:25" ht="15.95" customHeight="1" x14ac:dyDescent="0.25">
      <c r="B47" s="174" t="s">
        <v>52</v>
      </c>
      <c r="D47" s="13">
        <v>96250</v>
      </c>
      <c r="E47" s="13">
        <f t="shared" si="0"/>
        <v>120312</v>
      </c>
      <c r="F47" s="13">
        <f t="shared" si="1"/>
        <v>60156</v>
      </c>
      <c r="H47" s="14">
        <f t="shared" si="11"/>
        <v>75195</v>
      </c>
      <c r="I47" s="14">
        <f t="shared" si="3"/>
        <v>37598</v>
      </c>
      <c r="J47" s="14">
        <f t="shared" si="12"/>
        <v>96301</v>
      </c>
      <c r="L47" s="15">
        <f t="shared" si="13"/>
        <v>120376</v>
      </c>
      <c r="M47" s="15">
        <f t="shared" si="6"/>
        <v>60188</v>
      </c>
      <c r="N47" s="15">
        <f t="shared" si="7"/>
        <v>75235</v>
      </c>
      <c r="P47" s="16">
        <f t="shared" si="14"/>
        <v>37618</v>
      </c>
      <c r="Q47" s="16">
        <f t="shared" si="15"/>
        <v>96210</v>
      </c>
      <c r="R47" s="16">
        <f t="shared" si="10"/>
        <v>48105</v>
      </c>
    </row>
    <row r="48" spans="2:25" ht="15.95" customHeight="1" x14ac:dyDescent="0.25">
      <c r="B48" s="174" t="s">
        <v>53</v>
      </c>
      <c r="D48" s="13">
        <v>75450</v>
      </c>
      <c r="E48" s="13">
        <f t="shared" si="0"/>
        <v>94312</v>
      </c>
      <c r="F48" s="13">
        <f t="shared" si="1"/>
        <v>47156</v>
      </c>
      <c r="H48" s="14">
        <f t="shared" si="11"/>
        <v>58945</v>
      </c>
      <c r="I48" s="14">
        <f t="shared" si="3"/>
        <v>29473</v>
      </c>
      <c r="J48" s="14">
        <f t="shared" si="12"/>
        <v>75501</v>
      </c>
      <c r="L48" s="15">
        <f t="shared" si="13"/>
        <v>94376</v>
      </c>
      <c r="M48" s="15">
        <f t="shared" si="6"/>
        <v>47188</v>
      </c>
      <c r="N48" s="15">
        <f t="shared" si="7"/>
        <v>58985</v>
      </c>
      <c r="P48" s="16">
        <f t="shared" si="14"/>
        <v>29493</v>
      </c>
      <c r="Q48" s="16">
        <f t="shared" si="15"/>
        <v>75410</v>
      </c>
      <c r="R48" s="16">
        <f t="shared" si="10"/>
        <v>37705</v>
      </c>
    </row>
    <row r="49" spans="2:18" ht="15.95" customHeight="1" x14ac:dyDescent="0.25">
      <c r="B49" s="174" t="s">
        <v>54</v>
      </c>
      <c r="D49" s="13">
        <v>98850</v>
      </c>
      <c r="E49" s="13">
        <f t="shared" si="0"/>
        <v>123562</v>
      </c>
      <c r="F49" s="13">
        <f t="shared" si="1"/>
        <v>61781</v>
      </c>
      <c r="H49" s="14">
        <f t="shared" si="11"/>
        <v>77226</v>
      </c>
      <c r="I49" s="14">
        <f t="shared" si="3"/>
        <v>38613</v>
      </c>
      <c r="J49" s="14">
        <f t="shared" si="12"/>
        <v>98901</v>
      </c>
      <c r="L49" s="15">
        <f t="shared" si="13"/>
        <v>123626</v>
      </c>
      <c r="M49" s="15">
        <f t="shared" si="6"/>
        <v>61813</v>
      </c>
      <c r="N49" s="15">
        <f t="shared" si="7"/>
        <v>77266</v>
      </c>
      <c r="P49" s="16">
        <f t="shared" si="14"/>
        <v>38633</v>
      </c>
      <c r="Q49" s="16">
        <f t="shared" si="15"/>
        <v>98810</v>
      </c>
      <c r="R49" s="16">
        <f t="shared" si="10"/>
        <v>49405</v>
      </c>
    </row>
    <row r="50" spans="2:18" ht="15.95" customHeight="1" x14ac:dyDescent="0.25">
      <c r="B50" s="174" t="s">
        <v>55</v>
      </c>
      <c r="D50" s="13">
        <v>147750</v>
      </c>
      <c r="E50" s="13">
        <f t="shared" si="0"/>
        <v>184687</v>
      </c>
      <c r="F50" s="13">
        <f t="shared" si="1"/>
        <v>92344</v>
      </c>
      <c r="H50" s="14">
        <f t="shared" si="11"/>
        <v>115430</v>
      </c>
      <c r="I50" s="14">
        <f t="shared" si="3"/>
        <v>57715</v>
      </c>
      <c r="J50" s="14">
        <f t="shared" si="12"/>
        <v>147801</v>
      </c>
      <c r="L50" s="15">
        <f t="shared" si="13"/>
        <v>184751</v>
      </c>
      <c r="M50" s="15">
        <f t="shared" si="6"/>
        <v>92376</v>
      </c>
      <c r="N50" s="15">
        <f t="shared" si="7"/>
        <v>115470</v>
      </c>
      <c r="P50" s="16">
        <f t="shared" si="14"/>
        <v>57735</v>
      </c>
      <c r="Q50" s="16">
        <f t="shared" si="15"/>
        <v>147710</v>
      </c>
      <c r="R50" s="16">
        <f t="shared" si="10"/>
        <v>73855</v>
      </c>
    </row>
    <row r="51" spans="2:18" ht="15.95" customHeight="1" x14ac:dyDescent="0.25">
      <c r="B51" s="174" t="s">
        <v>56</v>
      </c>
      <c r="D51" s="13">
        <v>96500</v>
      </c>
      <c r="E51" s="13">
        <f t="shared" si="0"/>
        <v>120625</v>
      </c>
      <c r="F51" s="13">
        <f t="shared" si="1"/>
        <v>60313</v>
      </c>
      <c r="H51" s="14">
        <f t="shared" si="11"/>
        <v>75391</v>
      </c>
      <c r="I51" s="14">
        <f t="shared" si="3"/>
        <v>37696</v>
      </c>
      <c r="J51" s="14">
        <f t="shared" si="12"/>
        <v>96551</v>
      </c>
      <c r="L51" s="15">
        <f t="shared" si="13"/>
        <v>120688</v>
      </c>
      <c r="M51" s="15">
        <f t="shared" si="6"/>
        <v>60344</v>
      </c>
      <c r="N51" s="15">
        <f t="shared" si="7"/>
        <v>75430</v>
      </c>
      <c r="P51" s="16">
        <f t="shared" si="14"/>
        <v>37715</v>
      </c>
      <c r="Q51" s="16">
        <f t="shared" si="15"/>
        <v>96460</v>
      </c>
      <c r="R51" s="16">
        <f t="shared" si="10"/>
        <v>48230</v>
      </c>
    </row>
    <row r="52" spans="2:18" ht="15.95" customHeight="1" x14ac:dyDescent="0.25">
      <c r="B52" s="174" t="s">
        <v>57</v>
      </c>
      <c r="D52" s="13">
        <v>25800</v>
      </c>
      <c r="E52" s="13">
        <f t="shared" si="0"/>
        <v>32250</v>
      </c>
      <c r="F52" s="13">
        <f t="shared" si="1"/>
        <v>16125</v>
      </c>
      <c r="H52" s="14">
        <f t="shared" si="11"/>
        <v>20156</v>
      </c>
      <c r="I52" s="14">
        <f t="shared" si="3"/>
        <v>10078</v>
      </c>
      <c r="J52" s="14">
        <f t="shared" si="12"/>
        <v>25851</v>
      </c>
      <c r="L52" s="15">
        <f t="shared" si="13"/>
        <v>32313</v>
      </c>
      <c r="M52" s="15">
        <f t="shared" si="6"/>
        <v>16157</v>
      </c>
      <c r="N52" s="15">
        <f t="shared" si="7"/>
        <v>20196</v>
      </c>
      <c r="P52" s="16">
        <f t="shared" si="14"/>
        <v>10098</v>
      </c>
      <c r="Q52" s="16">
        <f t="shared" si="15"/>
        <v>25760</v>
      </c>
      <c r="R52" s="16">
        <f t="shared" si="10"/>
        <v>12880</v>
      </c>
    </row>
    <row r="53" spans="2:18" ht="15.95" customHeight="1" x14ac:dyDescent="0.25">
      <c r="B53" s="174" t="s">
        <v>58</v>
      </c>
      <c r="D53" s="13">
        <v>68750</v>
      </c>
      <c r="E53" s="13">
        <f t="shared" si="0"/>
        <v>85937</v>
      </c>
      <c r="F53" s="13">
        <f t="shared" si="1"/>
        <v>42969</v>
      </c>
      <c r="H53" s="14">
        <f t="shared" si="11"/>
        <v>53711</v>
      </c>
      <c r="I53" s="14">
        <f t="shared" si="3"/>
        <v>26856</v>
      </c>
      <c r="J53" s="14">
        <f t="shared" si="12"/>
        <v>68801</v>
      </c>
      <c r="L53" s="15">
        <f t="shared" si="13"/>
        <v>86001</v>
      </c>
      <c r="M53" s="15">
        <f t="shared" si="6"/>
        <v>43001</v>
      </c>
      <c r="N53" s="15">
        <f t="shared" si="7"/>
        <v>53751</v>
      </c>
      <c r="P53" s="16">
        <f t="shared" si="14"/>
        <v>26876</v>
      </c>
      <c r="Q53" s="16">
        <f t="shared" si="15"/>
        <v>68710</v>
      </c>
      <c r="R53" s="16">
        <f t="shared" si="10"/>
        <v>34355</v>
      </c>
    </row>
    <row r="54" spans="2:18" ht="15.95" customHeight="1" x14ac:dyDescent="0.25">
      <c r="B54" s="174" t="s">
        <v>59</v>
      </c>
      <c r="D54" s="13">
        <v>45550</v>
      </c>
      <c r="E54" s="13">
        <f t="shared" si="0"/>
        <v>56937</v>
      </c>
      <c r="F54" s="13">
        <f t="shared" si="1"/>
        <v>28469</v>
      </c>
      <c r="H54" s="14">
        <f t="shared" si="11"/>
        <v>35586</v>
      </c>
      <c r="I54" s="14">
        <f t="shared" si="3"/>
        <v>17793</v>
      </c>
      <c r="J54" s="14">
        <f t="shared" si="12"/>
        <v>45601</v>
      </c>
      <c r="L54" s="15">
        <f t="shared" si="13"/>
        <v>57001</v>
      </c>
      <c r="M54" s="15">
        <f t="shared" si="6"/>
        <v>28501</v>
      </c>
      <c r="N54" s="15">
        <f t="shared" si="7"/>
        <v>35626</v>
      </c>
      <c r="P54" s="16">
        <f t="shared" si="14"/>
        <v>17813</v>
      </c>
      <c r="Q54" s="16">
        <f t="shared" si="15"/>
        <v>45510</v>
      </c>
      <c r="R54" s="16">
        <f t="shared" si="10"/>
        <v>22755</v>
      </c>
    </row>
    <row r="55" spans="2:18" ht="15.95" customHeight="1" x14ac:dyDescent="0.25">
      <c r="B55" s="174" t="s">
        <v>60</v>
      </c>
      <c r="D55" s="13">
        <v>25000</v>
      </c>
      <c r="E55" s="13">
        <f t="shared" si="0"/>
        <v>31250</v>
      </c>
      <c r="F55" s="13">
        <f t="shared" si="1"/>
        <v>15625</v>
      </c>
      <c r="H55" s="14">
        <f t="shared" si="11"/>
        <v>19531</v>
      </c>
      <c r="I55" s="14">
        <f t="shared" si="3"/>
        <v>9766</v>
      </c>
      <c r="J55" s="14">
        <f t="shared" si="12"/>
        <v>25051</v>
      </c>
      <c r="L55" s="15">
        <f t="shared" si="13"/>
        <v>31313</v>
      </c>
      <c r="M55" s="15">
        <f t="shared" si="6"/>
        <v>15657</v>
      </c>
      <c r="N55" s="15">
        <f t="shared" si="7"/>
        <v>19571</v>
      </c>
      <c r="P55" s="16">
        <f t="shared" si="14"/>
        <v>9786</v>
      </c>
      <c r="Q55" s="16">
        <f t="shared" si="15"/>
        <v>24960</v>
      </c>
      <c r="R55" s="16">
        <f t="shared" si="10"/>
        <v>12480</v>
      </c>
    </row>
    <row r="56" spans="2:18" ht="15.95" customHeight="1" x14ac:dyDescent="0.25">
      <c r="B56" s="174" t="s">
        <v>61</v>
      </c>
      <c r="D56" s="13">
        <v>35000</v>
      </c>
      <c r="E56" s="13">
        <f t="shared" si="0"/>
        <v>43750</v>
      </c>
      <c r="F56" s="13">
        <f t="shared" si="1"/>
        <v>21875</v>
      </c>
      <c r="H56" s="14">
        <f t="shared" si="11"/>
        <v>27343</v>
      </c>
      <c r="I56" s="14">
        <f t="shared" si="3"/>
        <v>13672</v>
      </c>
      <c r="J56" s="14">
        <f t="shared" si="12"/>
        <v>35051</v>
      </c>
      <c r="L56" s="15">
        <f t="shared" si="13"/>
        <v>43813</v>
      </c>
      <c r="M56" s="15">
        <f t="shared" si="6"/>
        <v>21907</v>
      </c>
      <c r="N56" s="15">
        <f t="shared" si="7"/>
        <v>27383</v>
      </c>
      <c r="P56" s="16">
        <f t="shared" si="14"/>
        <v>13692</v>
      </c>
      <c r="Q56" s="16">
        <f t="shared" si="15"/>
        <v>34960</v>
      </c>
      <c r="R56" s="16">
        <f t="shared" si="10"/>
        <v>17480</v>
      </c>
    </row>
    <row r="57" spans="2:18" ht="15.95" customHeight="1" x14ac:dyDescent="0.25">
      <c r="B57" s="19" t="s">
        <v>1</v>
      </c>
      <c r="D57" s="20">
        <f>SUM(D2:D56)</f>
        <v>19445070</v>
      </c>
      <c r="E57" s="20">
        <f>SUM(E2:E56)</f>
        <v>24306331</v>
      </c>
      <c r="F57" s="20">
        <f>SUM(F2:F56)</f>
        <v>12153169</v>
      </c>
      <c r="H57" s="20">
        <f>SUM(H2:H56)</f>
        <v>15191445</v>
      </c>
      <c r="I57" s="20">
        <f>SUM(I2:I56)</f>
        <v>7595739</v>
      </c>
      <c r="J57" s="20">
        <f>SUM(J2:J56)</f>
        <v>19447875</v>
      </c>
      <c r="L57" s="20">
        <f>SUM(L2:L56)</f>
        <v>24309809</v>
      </c>
      <c r="M57" s="20">
        <f>SUM(M2:M56)</f>
        <v>12154927</v>
      </c>
      <c r="N57" s="20">
        <f>SUM(N2:N56)</f>
        <v>15193643</v>
      </c>
      <c r="P57" s="20">
        <f>SUM(P2:P56)</f>
        <v>7596837</v>
      </c>
      <c r="Q57" s="20">
        <f>SUM(Q2:Q56)</f>
        <v>19442870</v>
      </c>
      <c r="R57" s="199">
        <f>SUM(R2:R56)</f>
        <v>9721435</v>
      </c>
    </row>
  </sheetData>
  <mergeCells count="23">
    <mergeCell ref="A1:A12"/>
    <mergeCell ref="T1:T2"/>
    <mergeCell ref="U25:Y26"/>
    <mergeCell ref="U5:Y6"/>
    <mergeCell ref="U7:Y8"/>
    <mergeCell ref="U9:Y10"/>
    <mergeCell ref="U11:Y12"/>
    <mergeCell ref="U15:Y16"/>
    <mergeCell ref="U20:Y21"/>
    <mergeCell ref="U17:Y19"/>
    <mergeCell ref="T3:Y4"/>
    <mergeCell ref="T13:Y14"/>
    <mergeCell ref="T35:T41"/>
    <mergeCell ref="T22:T26"/>
    <mergeCell ref="U22:Y24"/>
    <mergeCell ref="T5:T12"/>
    <mergeCell ref="T15:T21"/>
    <mergeCell ref="T27:T34"/>
    <mergeCell ref="U27:Y29"/>
    <mergeCell ref="U30:Y32"/>
    <mergeCell ref="U33:Y34"/>
    <mergeCell ref="U35:Y37"/>
    <mergeCell ref="U38:Y41"/>
  </mergeCells>
  <hyperlinks>
    <hyperlink ref="A1:A3" location="'__ANA SAYFA'!A1" display="ANA SAYFA" xr:uid="{00000000-0004-0000-0400-000000000000}"/>
  </hyperlinks>
  <printOptions horizontalCentered="1" verticalCentered="1"/>
  <pageMargins left="0.39370078740157483" right="0.39370078740157483" top="0.39370078740157483" bottom="0.39370078740157483" header="0.11811023622047245" footer="0.11811023622047245"/>
  <pageSetup paperSize="9" firstPageNumber="4" orientation="landscape" cellComments="asDisplayed" r:id="rId1"/>
  <headerFooter>
    <oddHeader>&amp;L&amp;G&amp;C&amp;"-,Kalın"&amp;16&amp;U&amp;KFF0000YILLIK SATIŞ TABLOSU&amp;R&amp;"-,Kalın"&amp;12&amp;P/&amp;N</oddHeader>
    <oddFooter>&amp;L&amp;Z&amp;F &amp;F&amp;A&amp;R&amp;"-,Kalın"&amp;12&amp;D/&amp;T</oddFooter>
  </headerFooter>
  <drawing r:id="rId2"/>
  <legacy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F20"/>
  <sheetViews>
    <sheetView zoomScale="90" zoomScaleNormal="90" workbookViewId="0">
      <selection sqref="A1:A4"/>
    </sheetView>
  </sheetViews>
  <sheetFormatPr defaultColWidth="8.85546875" defaultRowHeight="34.15" customHeight="1" x14ac:dyDescent="0.55000000000000004"/>
  <cols>
    <col min="1" max="1" width="6.140625" style="212" customWidth="1"/>
    <col min="2" max="2" width="7.28515625" style="200" customWidth="1"/>
    <col min="3" max="3" width="35" style="200" customWidth="1"/>
    <col min="4" max="6" width="17.5703125" style="200" customWidth="1"/>
    <col min="7" max="7" width="3.7109375" style="200" customWidth="1"/>
    <col min="8" max="8" width="8.85546875" style="200"/>
    <col min="9" max="9" width="1.7109375" style="200" customWidth="1"/>
    <col min="10" max="10" width="35" style="200" customWidth="1"/>
    <col min="11" max="13" width="17.5703125" style="200" customWidth="1"/>
    <col min="14" max="14" width="8.85546875" style="200"/>
    <col min="15" max="22" width="18.140625" style="200" customWidth="1"/>
    <col min="23" max="23" width="8.85546875" style="200"/>
    <col min="24" max="24" width="8.28515625" style="200" customWidth="1"/>
    <col min="25" max="30" width="8.85546875" style="200"/>
    <col min="31" max="31" width="10.5703125" style="200" customWidth="1"/>
    <col min="32" max="16384" width="8.85546875" style="200"/>
  </cols>
  <sheetData>
    <row r="1" spans="1:32" ht="34.15" customHeight="1" thickTop="1" thickBot="1" x14ac:dyDescent="0.6">
      <c r="A1" s="819" t="s">
        <v>96</v>
      </c>
      <c r="B1" s="557" t="s">
        <v>275</v>
      </c>
      <c r="C1" s="558" t="s">
        <v>276</v>
      </c>
      <c r="D1" s="542" t="s">
        <v>277</v>
      </c>
      <c r="E1" s="543" t="s">
        <v>278</v>
      </c>
      <c r="F1" s="544" t="s">
        <v>279</v>
      </c>
      <c r="O1" s="201" t="s">
        <v>606</v>
      </c>
      <c r="P1" s="202"/>
      <c r="Q1" s="202"/>
      <c r="R1" s="202"/>
      <c r="S1" s="202"/>
      <c r="T1" s="202"/>
      <c r="U1" s="202"/>
      <c r="V1" s="202"/>
      <c r="AF1" s="817" t="s">
        <v>611</v>
      </c>
    </row>
    <row r="2" spans="1:32" ht="34.15" customHeight="1" thickTop="1" x14ac:dyDescent="0.55000000000000004">
      <c r="A2" s="819"/>
      <c r="B2" s="203">
        <v>1</v>
      </c>
      <c r="C2" s="538" t="s">
        <v>280</v>
      </c>
      <c r="D2" s="545">
        <v>200</v>
      </c>
      <c r="E2" s="204">
        <v>180</v>
      </c>
      <c r="F2" s="546">
        <v>220</v>
      </c>
      <c r="O2" s="229" t="s">
        <v>277</v>
      </c>
      <c r="P2" s="229" t="s">
        <v>277</v>
      </c>
      <c r="Q2" s="230" t="s">
        <v>278</v>
      </c>
      <c r="R2" s="230" t="s">
        <v>278</v>
      </c>
      <c r="S2" s="231" t="s">
        <v>279</v>
      </c>
      <c r="T2" s="231" t="s">
        <v>279</v>
      </c>
      <c r="U2" s="231" t="s">
        <v>279</v>
      </c>
      <c r="V2" s="231" t="s">
        <v>279</v>
      </c>
      <c r="AF2" s="817"/>
    </row>
    <row r="3" spans="1:32" ht="34.15" customHeight="1" x14ac:dyDescent="0.55000000000000004">
      <c r="A3" s="819"/>
      <c r="B3" s="203">
        <v>2</v>
      </c>
      <c r="C3" s="539" t="s">
        <v>281</v>
      </c>
      <c r="D3" s="617">
        <v>250</v>
      </c>
      <c r="E3" s="618">
        <v>320</v>
      </c>
      <c r="F3" s="619">
        <v>170</v>
      </c>
      <c r="O3" s="205" t="s">
        <v>604</v>
      </c>
      <c r="P3" s="205" t="s">
        <v>605</v>
      </c>
      <c r="Q3" s="206" t="s">
        <v>604</v>
      </c>
      <c r="R3" s="206" t="s">
        <v>605</v>
      </c>
      <c r="S3" s="207" t="s">
        <v>604</v>
      </c>
      <c r="T3" s="207"/>
      <c r="U3" s="207"/>
      <c r="V3" s="207" t="s">
        <v>605</v>
      </c>
      <c r="AF3" s="817"/>
    </row>
    <row r="4" spans="1:32" ht="34.15" customHeight="1" x14ac:dyDescent="0.55000000000000004">
      <c r="A4" s="819"/>
      <c r="B4" s="203">
        <v>3</v>
      </c>
      <c r="C4" s="539" t="s">
        <v>282</v>
      </c>
      <c r="D4" s="547">
        <v>400</v>
      </c>
      <c r="E4" s="208">
        <v>350</v>
      </c>
      <c r="F4" s="548">
        <v>600</v>
      </c>
      <c r="L4" s="832" t="s">
        <v>610</v>
      </c>
      <c r="M4" s="832"/>
      <c r="O4" s="209">
        <v>1000</v>
      </c>
      <c r="P4" s="209">
        <v>850</v>
      </c>
      <c r="Q4" s="210">
        <v>2000</v>
      </c>
      <c r="R4" s="210">
        <v>2200</v>
      </c>
      <c r="S4" s="211">
        <v>3500</v>
      </c>
      <c r="T4" s="621">
        <v>9999</v>
      </c>
      <c r="U4" s="621">
        <v>888</v>
      </c>
      <c r="V4" s="211">
        <v>4000</v>
      </c>
      <c r="AF4" s="817"/>
    </row>
    <row r="5" spans="1:32" ht="34.15" customHeight="1" thickBot="1" x14ac:dyDescent="0.6">
      <c r="B5" s="203">
        <v>4</v>
      </c>
      <c r="C5" s="540" t="s">
        <v>283</v>
      </c>
      <c r="D5" s="563">
        <v>350</v>
      </c>
      <c r="E5" s="184">
        <v>500</v>
      </c>
      <c r="F5" s="564">
        <v>1200</v>
      </c>
    </row>
    <row r="6" spans="1:32" ht="34.15" customHeight="1" thickTop="1" thickBot="1" x14ac:dyDescent="0.6">
      <c r="B6" s="213"/>
      <c r="C6" s="559" t="s">
        <v>64</v>
      </c>
      <c r="D6" s="560">
        <f>SUM(D2:D5)</f>
        <v>1200</v>
      </c>
      <c r="E6" s="561">
        <f t="shared" ref="E6:F6" si="0">SUM(E2:E5)</f>
        <v>1350</v>
      </c>
      <c r="F6" s="562">
        <f t="shared" si="0"/>
        <v>2190</v>
      </c>
      <c r="P6" s="828" t="s">
        <v>279</v>
      </c>
      <c r="Q6" s="829"/>
      <c r="R6" s="227" t="s">
        <v>604</v>
      </c>
      <c r="S6" s="228">
        <f>HLOOKUP(P6,$O$2:$V$4,3,0)</f>
        <v>3500</v>
      </c>
      <c r="T6" s="620"/>
      <c r="U6" s="620"/>
      <c r="V6" s="237" t="s">
        <v>612</v>
      </c>
    </row>
    <row r="7" spans="1:32" ht="34.35" customHeight="1" thickTop="1" thickBot="1" x14ac:dyDescent="0.6">
      <c r="K7" s="214"/>
      <c r="L7" s="214"/>
      <c r="M7" s="214"/>
      <c r="P7" s="830"/>
      <c r="Q7" s="831"/>
      <c r="R7" s="227" t="s">
        <v>605</v>
      </c>
      <c r="S7" s="228">
        <f>HLOOKUP(P6,$O$2:$V$4,3,1)</f>
        <v>4000</v>
      </c>
      <c r="T7" s="620"/>
      <c r="U7" s="620"/>
      <c r="V7" s="237" t="s">
        <v>613</v>
      </c>
    </row>
    <row r="8" spans="1:32" ht="34.15" customHeight="1" thickTop="1" x14ac:dyDescent="0.55000000000000004">
      <c r="B8" s="223" t="s">
        <v>358</v>
      </c>
      <c r="C8" s="215"/>
      <c r="D8" s="215"/>
      <c r="E8" s="215"/>
      <c r="F8" s="820" t="s">
        <v>284</v>
      </c>
      <c r="G8" s="820"/>
      <c r="H8" s="821"/>
      <c r="I8" s="216"/>
      <c r="J8" s="552" t="s">
        <v>276</v>
      </c>
      <c r="K8" s="553" t="s">
        <v>277</v>
      </c>
      <c r="L8" s="553" t="s">
        <v>278</v>
      </c>
      <c r="M8" s="554" t="s">
        <v>279</v>
      </c>
    </row>
    <row r="9" spans="1:32" ht="34.15" customHeight="1" thickBot="1" x14ac:dyDescent="0.6">
      <c r="B9" s="224" t="s">
        <v>575</v>
      </c>
      <c r="C9" s="217"/>
      <c r="D9" s="217"/>
      <c r="E9" s="217"/>
      <c r="F9" s="822"/>
      <c r="G9" s="822"/>
      <c r="H9" s="823"/>
      <c r="I9" s="216"/>
      <c r="J9" s="541" t="s">
        <v>281</v>
      </c>
      <c r="K9" s="184">
        <f>VLOOKUP($J9,$C$2:$F$5,2,0)</f>
        <v>250</v>
      </c>
      <c r="L9" s="184">
        <f>VLOOKUP($J9,$C$2:$F$5,3,0)</f>
        <v>320</v>
      </c>
      <c r="M9" s="184">
        <f>VLOOKUP($J9,$C$2:$F$5,4,0)</f>
        <v>170</v>
      </c>
      <c r="O9" s="818" t="s">
        <v>614</v>
      </c>
      <c r="P9" s="818"/>
      <c r="Q9" s="818"/>
      <c r="R9" s="818"/>
      <c r="S9" s="818"/>
      <c r="T9" s="818"/>
      <c r="U9" s="818"/>
      <c r="V9" s="818"/>
    </row>
    <row r="10" spans="1:32" ht="8.1" customHeight="1" thickTop="1" x14ac:dyDescent="0.55000000000000004">
      <c r="B10" s="225"/>
      <c r="C10" s="218"/>
      <c r="D10" s="183"/>
      <c r="E10" s="183"/>
      <c r="F10" s="183"/>
      <c r="O10" s="818"/>
      <c r="P10" s="818"/>
      <c r="Q10" s="818"/>
      <c r="R10" s="818"/>
      <c r="S10" s="818"/>
      <c r="T10" s="818"/>
      <c r="U10" s="818"/>
      <c r="V10" s="818"/>
    </row>
    <row r="11" spans="1:32" ht="17.45" customHeight="1" x14ac:dyDescent="0.55000000000000004">
      <c r="A11" s="219"/>
      <c r="B11" s="226"/>
      <c r="C11" s="219"/>
      <c r="D11" s="219"/>
      <c r="E11" s="219"/>
      <c r="F11" s="219"/>
      <c r="G11" s="219"/>
      <c r="H11" s="219"/>
      <c r="I11" s="219"/>
      <c r="J11" s="219"/>
      <c r="K11" s="219"/>
      <c r="L11" s="219"/>
      <c r="M11" s="219"/>
      <c r="O11" s="818"/>
      <c r="P11" s="818"/>
      <c r="Q11" s="818"/>
      <c r="R11" s="818"/>
      <c r="S11" s="818"/>
      <c r="T11" s="818"/>
      <c r="U11" s="818"/>
      <c r="V11" s="818"/>
    </row>
    <row r="12" spans="1:32" ht="8.1" customHeight="1" thickBot="1" x14ac:dyDescent="0.6">
      <c r="B12" s="69"/>
      <c r="C12" s="212"/>
      <c r="D12" s="212"/>
      <c r="E12" s="212"/>
      <c r="F12" s="212"/>
      <c r="G12" s="212"/>
      <c r="O12" s="818"/>
      <c r="P12" s="818"/>
      <c r="Q12" s="818"/>
      <c r="R12" s="818"/>
      <c r="S12" s="818"/>
      <c r="T12" s="818"/>
      <c r="U12" s="818"/>
      <c r="V12" s="818"/>
    </row>
    <row r="13" spans="1:32" ht="34.15" customHeight="1" thickTop="1" x14ac:dyDescent="0.55000000000000004">
      <c r="B13" s="565" t="s">
        <v>359</v>
      </c>
      <c r="C13" s="215"/>
      <c r="D13" s="215"/>
      <c r="E13" s="215"/>
      <c r="F13" s="824" t="s">
        <v>285</v>
      </c>
      <c r="G13" s="824"/>
      <c r="H13" s="825"/>
      <c r="I13" s="216"/>
      <c r="J13" s="555" t="s">
        <v>799</v>
      </c>
      <c r="K13" s="549" t="s">
        <v>277</v>
      </c>
      <c r="L13" s="549" t="s">
        <v>278</v>
      </c>
      <c r="M13" s="550" t="s">
        <v>279</v>
      </c>
      <c r="O13" s="818"/>
      <c r="P13" s="818"/>
      <c r="Q13" s="818"/>
      <c r="R13" s="818"/>
      <c r="S13" s="818"/>
      <c r="T13" s="818"/>
      <c r="U13" s="818"/>
      <c r="V13" s="818"/>
    </row>
    <row r="14" spans="1:32" ht="34.15" customHeight="1" thickBot="1" x14ac:dyDescent="0.6">
      <c r="B14" s="224" t="s">
        <v>576</v>
      </c>
      <c r="C14" s="217"/>
      <c r="D14" s="217"/>
      <c r="E14" s="217"/>
      <c r="F14" s="826"/>
      <c r="G14" s="826"/>
      <c r="H14" s="827"/>
      <c r="I14" s="216"/>
      <c r="J14" s="556" t="s">
        <v>64</v>
      </c>
      <c r="K14" s="551">
        <f>HLOOKUP(K13,$D$1:$F$6,6,0)</f>
        <v>1200</v>
      </c>
      <c r="L14" s="551">
        <f t="shared" ref="L14:M14" si="1">HLOOKUP(L13,$D$1:$F$6,6,0)</f>
        <v>1350</v>
      </c>
      <c r="M14" s="551">
        <f t="shared" si="1"/>
        <v>2190</v>
      </c>
      <c r="O14" s="818"/>
      <c r="P14" s="818"/>
      <c r="Q14" s="818"/>
      <c r="R14" s="818"/>
      <c r="S14" s="818"/>
      <c r="T14" s="818"/>
      <c r="U14" s="818"/>
      <c r="V14" s="818"/>
    </row>
    <row r="15" spans="1:32" ht="34.15" customHeight="1" thickTop="1" x14ac:dyDescent="0.55000000000000004">
      <c r="E15" s="220"/>
      <c r="H15" s="221"/>
      <c r="I15" s="221"/>
    </row>
    <row r="16" spans="1:32" ht="34.15" customHeight="1" x14ac:dyDescent="0.55000000000000004">
      <c r="E16" s="220"/>
    </row>
    <row r="17" spans="5:14" ht="34.15" customHeight="1" x14ac:dyDescent="0.55000000000000004">
      <c r="E17" s="220"/>
    </row>
    <row r="18" spans="5:14" ht="34.15" customHeight="1" x14ac:dyDescent="0.55000000000000004">
      <c r="H18" s="222"/>
      <c r="I18" s="222"/>
    </row>
    <row r="20" spans="5:14" ht="34.15" customHeight="1" x14ac:dyDescent="0.55000000000000004">
      <c r="H20" s="212"/>
      <c r="I20" s="212"/>
      <c r="J20" s="212"/>
      <c r="K20" s="212"/>
      <c r="L20" s="212"/>
      <c r="M20" s="212"/>
      <c r="N20" s="212"/>
    </row>
  </sheetData>
  <mergeCells count="7">
    <mergeCell ref="AF1:AF4"/>
    <mergeCell ref="O9:V14"/>
    <mergeCell ref="A1:A4"/>
    <mergeCell ref="F8:H9"/>
    <mergeCell ref="F13:H14"/>
    <mergeCell ref="P6:Q7"/>
    <mergeCell ref="L4:M4"/>
  </mergeCells>
  <dataValidations count="2">
    <dataValidation type="list" allowBlank="1" showInputMessage="1" showErrorMessage="1" sqref="C10 J9" xr:uid="{00000000-0002-0000-0500-000000000000}">
      <formula1>$C$2:$C$5</formula1>
    </dataValidation>
    <dataValidation type="list" allowBlank="1" showInputMessage="1" showErrorMessage="1" sqref="P6:Q7" xr:uid="{00000000-0002-0000-0500-000001000000}">
      <formula1>"2016,2017,2018"</formula1>
    </dataValidation>
  </dataValidations>
  <hyperlinks>
    <hyperlink ref="A1:A3" location="'__ANA SAYFA'!A1" display="ANA SAYFA" xr:uid="{00000000-0004-0000-0500-000000000000}"/>
    <hyperlink ref="AF1:AF3" location="'__ANA SAYFA'!A1" display="ANA SAYFA" xr:uid="{00000000-0004-0000-0500-000001000000}"/>
    <hyperlink ref="L4:M4" location="DUSEYARA_YATAYARA!AD5" display="Belirteç 1 kullanımı" xr:uid="{00000000-0004-0000-0500-000002000000}"/>
    <hyperlink ref="AF1:AF4" location="DUSEYARA_YATAYARA!A1" display="Başa Git" xr:uid="{00000000-0004-0000-0500-000003000000}"/>
  </hyperlink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J13"/>
  <sheetViews>
    <sheetView zoomScale="70" zoomScaleNormal="70" workbookViewId="0">
      <selection activeCell="C9" sqref="C9"/>
    </sheetView>
  </sheetViews>
  <sheetFormatPr defaultColWidth="8.85546875" defaultRowHeight="34.15" customHeight="1" x14ac:dyDescent="0.25"/>
  <cols>
    <col min="1" max="1" width="10.140625" style="70" customWidth="1"/>
    <col min="2" max="2" width="8.85546875" style="3"/>
    <col min="3" max="4" width="34.7109375" style="3" customWidth="1"/>
    <col min="5" max="5" width="8.5703125" style="3" customWidth="1"/>
    <col min="6" max="6" width="3.7109375" style="3" customWidth="1"/>
    <col min="7" max="7" width="53.42578125" style="3" customWidth="1"/>
    <col min="8" max="8" width="24.140625" style="3" customWidth="1"/>
    <col min="9" max="9" width="30.42578125" style="3" customWidth="1"/>
    <col min="10" max="10" width="16" style="3" customWidth="1"/>
    <col min="11" max="12" width="8.85546875" style="3"/>
    <col min="13" max="13" width="34.42578125" style="3" customWidth="1"/>
    <col min="14" max="14" width="38" style="3" customWidth="1"/>
    <col min="15" max="16384" width="8.85546875" style="3"/>
  </cols>
  <sheetData>
    <row r="1" spans="1:10" ht="48.75" customHeight="1" thickBot="1" x14ac:dyDescent="0.3">
      <c r="A1" s="833" t="s">
        <v>96</v>
      </c>
      <c r="B1" s="175"/>
      <c r="C1" s="370" t="s">
        <v>287</v>
      </c>
      <c r="D1" s="371" t="s">
        <v>286</v>
      </c>
      <c r="G1" s="179" t="s">
        <v>293</v>
      </c>
      <c r="H1" s="179" t="s">
        <v>111</v>
      </c>
      <c r="I1" s="179" t="s">
        <v>294</v>
      </c>
      <c r="J1" s="179" t="s">
        <v>302</v>
      </c>
    </row>
    <row r="2" spans="1:10" ht="42.75" customHeight="1" thickTop="1" x14ac:dyDescent="0.25">
      <c r="A2" s="833"/>
      <c r="B2" s="175"/>
      <c r="C2" s="265">
        <v>180000</v>
      </c>
      <c r="D2" s="268" t="s">
        <v>288</v>
      </c>
      <c r="G2" s="437" t="s">
        <v>295</v>
      </c>
      <c r="H2" s="438" t="s">
        <v>296</v>
      </c>
      <c r="I2" s="439">
        <f>MAX(C2:C6)</f>
        <v>480000</v>
      </c>
      <c r="J2" s="438"/>
    </row>
    <row r="3" spans="1:10" ht="42.75" customHeight="1" x14ac:dyDescent="0.25">
      <c r="A3" s="833"/>
      <c r="B3" s="175"/>
      <c r="C3" s="435">
        <v>480000</v>
      </c>
      <c r="D3" s="436" t="s">
        <v>289</v>
      </c>
      <c r="G3" s="437" t="s">
        <v>297</v>
      </c>
      <c r="H3" s="438" t="s">
        <v>298</v>
      </c>
      <c r="I3" s="439">
        <f>MIN(C2:C6)</f>
        <v>50000</v>
      </c>
      <c r="J3" s="438"/>
    </row>
    <row r="4" spans="1:10" ht="42.75" customHeight="1" x14ac:dyDescent="0.25">
      <c r="A4" s="833"/>
      <c r="B4" s="175"/>
      <c r="C4" s="266">
        <v>90000</v>
      </c>
      <c r="D4" s="269" t="s">
        <v>290</v>
      </c>
      <c r="G4" s="180" t="s">
        <v>299</v>
      </c>
      <c r="H4" s="181" t="s">
        <v>301</v>
      </c>
      <c r="I4" s="182">
        <f>LARGE($C$2:$C$6,J4)</f>
        <v>250000</v>
      </c>
      <c r="J4" s="181">
        <v>2</v>
      </c>
    </row>
    <row r="5" spans="1:10" ht="42.75" customHeight="1" x14ac:dyDescent="0.25">
      <c r="B5" s="175"/>
      <c r="C5" s="435">
        <v>250000</v>
      </c>
      <c r="D5" s="436" t="s">
        <v>291</v>
      </c>
      <c r="G5" s="180" t="s">
        <v>300</v>
      </c>
      <c r="H5" s="181" t="s">
        <v>303</v>
      </c>
      <c r="I5" s="182">
        <f>SMALL($C$2:$C$6,J5)</f>
        <v>180000</v>
      </c>
      <c r="J5" s="181">
        <v>3</v>
      </c>
    </row>
    <row r="6" spans="1:10" ht="40.5" customHeight="1" thickBot="1" x14ac:dyDescent="0.3">
      <c r="B6" s="175"/>
      <c r="C6" s="267">
        <v>50000</v>
      </c>
      <c r="D6" s="270" t="s">
        <v>292</v>
      </c>
    </row>
    <row r="7" spans="1:10" ht="40.5" customHeight="1" thickTop="1" x14ac:dyDescent="0.25">
      <c r="B7" s="175"/>
      <c r="C7" s="175"/>
      <c r="D7" s="175"/>
    </row>
    <row r="8" spans="1:10" ht="34.15" customHeight="1" x14ac:dyDescent="0.25">
      <c r="B8" s="176" t="s">
        <v>0</v>
      </c>
      <c r="C8" s="177" t="s">
        <v>286</v>
      </c>
      <c r="D8" s="177" t="s">
        <v>287</v>
      </c>
    </row>
    <row r="9" spans="1:10" ht="34.15" customHeight="1" x14ac:dyDescent="0.25">
      <c r="B9" s="271">
        <v>1</v>
      </c>
      <c r="C9" s="178" t="str">
        <f>VLOOKUP(D9,$C$2:$D$6,2,0)</f>
        <v>Citroen</v>
      </c>
      <c r="D9" s="315">
        <f>LARGE($C$2:$C$6,B9)</f>
        <v>480000</v>
      </c>
    </row>
    <row r="10" spans="1:10" ht="34.15" customHeight="1" x14ac:dyDescent="0.25">
      <c r="B10" s="440">
        <v>2</v>
      </c>
      <c r="C10" s="441" t="str">
        <f t="shared" ref="C10:C13" si="0">VLOOKUP(D10,$C$2:$D$6,2,0)</f>
        <v>Peugeot</v>
      </c>
      <c r="D10" s="315">
        <f>LARGE($C$2:$C$6,B10)</f>
        <v>250000</v>
      </c>
    </row>
    <row r="11" spans="1:10" ht="34.15" customHeight="1" x14ac:dyDescent="0.25">
      <c r="B11" s="271">
        <v>3</v>
      </c>
      <c r="C11" s="178" t="str">
        <f t="shared" si="0"/>
        <v>Ford</v>
      </c>
      <c r="D11" s="315">
        <f>LARGE($C$2:$C$6,B11)</f>
        <v>180000</v>
      </c>
    </row>
    <row r="12" spans="1:10" ht="34.15" customHeight="1" x14ac:dyDescent="0.25">
      <c r="B12" s="440">
        <v>4</v>
      </c>
      <c r="C12" s="441" t="str">
        <f t="shared" si="0"/>
        <v>Honda</v>
      </c>
      <c r="D12" s="315">
        <f>LARGE($C$2:$C$6,B12)</f>
        <v>90000</v>
      </c>
    </row>
    <row r="13" spans="1:10" ht="34.15" customHeight="1" x14ac:dyDescent="0.25">
      <c r="B13" s="271">
        <v>5</v>
      </c>
      <c r="C13" s="178" t="str">
        <f t="shared" si="0"/>
        <v>Toyota</v>
      </c>
      <c r="D13" s="315">
        <f>LARGE($C$2:$C$6,B13)</f>
        <v>50000</v>
      </c>
    </row>
  </sheetData>
  <mergeCells count="1">
    <mergeCell ref="A1:A4"/>
  </mergeCells>
  <hyperlinks>
    <hyperlink ref="A1:A3" location="'__ANA SAYFA'!A1" display="ANA SAYFA" xr:uid="{00000000-0004-0000-0600-000000000000}"/>
  </hyperlink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A129"/>
  <sheetViews>
    <sheetView zoomScale="85" zoomScaleNormal="85" workbookViewId="0">
      <selection activeCell="B1" sqref="B1:X2"/>
    </sheetView>
  </sheetViews>
  <sheetFormatPr defaultRowHeight="15" x14ac:dyDescent="0.25"/>
  <cols>
    <col min="1" max="1" width="6.28515625" style="69" customWidth="1"/>
    <col min="2" max="8" width="8.7109375" style="4" customWidth="1"/>
    <col min="9" max="9" width="1.7109375" style="4" customWidth="1"/>
    <col min="10" max="11" width="10.7109375" style="4" customWidth="1"/>
    <col min="12" max="16" width="8.7109375" style="4" customWidth="1"/>
    <col min="17" max="17" width="1.7109375" style="4" customWidth="1"/>
    <col min="18" max="19" width="9.7109375" style="4" customWidth="1"/>
    <col min="20" max="24" width="8.28515625" style="4" customWidth="1"/>
    <col min="25" max="25" width="2.7109375" style="7" customWidth="1"/>
    <col min="26" max="26" width="20.5703125" customWidth="1"/>
  </cols>
  <sheetData>
    <row r="1" spans="1:27" ht="18.75" customHeight="1" x14ac:dyDescent="0.25">
      <c r="A1" s="834" t="s">
        <v>96</v>
      </c>
      <c r="B1" s="855" t="s">
        <v>70</v>
      </c>
      <c r="C1" s="855"/>
      <c r="D1" s="855"/>
      <c r="E1" s="855"/>
      <c r="F1" s="855"/>
      <c r="G1" s="855"/>
      <c r="H1" s="855"/>
      <c r="I1" s="855"/>
      <c r="J1" s="855"/>
      <c r="K1" s="855"/>
      <c r="L1" s="855"/>
      <c r="M1" s="855"/>
      <c r="N1" s="855"/>
      <c r="O1" s="855"/>
      <c r="P1" s="855"/>
      <c r="Q1" s="855"/>
      <c r="R1" s="855"/>
      <c r="S1" s="855"/>
      <c r="T1" s="855"/>
      <c r="U1" s="855"/>
      <c r="V1" s="855"/>
      <c r="W1" s="855"/>
      <c r="X1" s="855"/>
      <c r="Z1" s="844" t="s">
        <v>363</v>
      </c>
    </row>
    <row r="2" spans="1:27" ht="18.75" customHeight="1" x14ac:dyDescent="0.25">
      <c r="A2" s="834"/>
      <c r="B2" s="855"/>
      <c r="C2" s="855"/>
      <c r="D2" s="855"/>
      <c r="E2" s="855"/>
      <c r="F2" s="855"/>
      <c r="G2" s="855"/>
      <c r="H2" s="855"/>
      <c r="I2" s="855"/>
      <c r="J2" s="855"/>
      <c r="K2" s="855"/>
      <c r="L2" s="855"/>
      <c r="M2" s="855"/>
      <c r="N2" s="855"/>
      <c r="O2" s="855"/>
      <c r="P2" s="855"/>
      <c r="Q2" s="855"/>
      <c r="R2" s="855"/>
      <c r="S2" s="855"/>
      <c r="T2" s="855"/>
      <c r="U2" s="855"/>
      <c r="V2" s="855"/>
      <c r="W2" s="855"/>
      <c r="X2" s="855"/>
      <c r="Z2" s="845"/>
    </row>
    <row r="3" spans="1:27" ht="18.95" customHeight="1" x14ac:dyDescent="0.25">
      <c r="A3" s="834"/>
      <c r="B3" s="838" t="s">
        <v>88</v>
      </c>
      <c r="C3" s="839"/>
      <c r="D3" s="846" t="s">
        <v>89</v>
      </c>
      <c r="E3" s="847"/>
      <c r="F3" s="847"/>
      <c r="G3" s="847"/>
      <c r="H3" s="848"/>
      <c r="J3" s="904" t="s">
        <v>650</v>
      </c>
      <c r="K3" s="905"/>
      <c r="L3" s="862" t="s">
        <v>651</v>
      </c>
      <c r="M3" s="863"/>
      <c r="N3" s="863"/>
      <c r="O3" s="863"/>
      <c r="P3" s="864"/>
      <c r="R3" s="838" t="s">
        <v>82</v>
      </c>
      <c r="S3" s="839"/>
      <c r="T3" s="846" t="s">
        <v>83</v>
      </c>
      <c r="U3" s="847"/>
      <c r="V3" s="847"/>
      <c r="W3" s="847"/>
      <c r="X3" s="848"/>
      <c r="Z3" s="185" t="s">
        <v>364</v>
      </c>
    </row>
    <row r="4" spans="1:27" ht="18.95" customHeight="1" x14ac:dyDescent="0.25">
      <c r="A4" s="834"/>
      <c r="B4" s="842"/>
      <c r="C4" s="843"/>
      <c r="D4" s="852"/>
      <c r="E4" s="853"/>
      <c r="F4" s="853"/>
      <c r="G4" s="853"/>
      <c r="H4" s="854"/>
      <c r="J4" s="906"/>
      <c r="K4" s="907"/>
      <c r="L4" s="865"/>
      <c r="M4" s="866"/>
      <c r="N4" s="866"/>
      <c r="O4" s="866"/>
      <c r="P4" s="867"/>
      <c r="R4" s="840"/>
      <c r="S4" s="841"/>
      <c r="T4" s="849"/>
      <c r="U4" s="850"/>
      <c r="V4" s="850"/>
      <c r="W4" s="850"/>
      <c r="X4" s="851"/>
      <c r="Z4" s="185" t="s">
        <v>365</v>
      </c>
    </row>
    <row r="5" spans="1:27" ht="18.95" customHeight="1" x14ac:dyDescent="0.25">
      <c r="A5" s="834"/>
      <c r="B5" s="856" t="s">
        <v>370</v>
      </c>
      <c r="C5" s="857"/>
      <c r="D5" s="862" t="s">
        <v>360</v>
      </c>
      <c r="E5" s="863"/>
      <c r="F5" s="863"/>
      <c r="G5" s="863"/>
      <c r="H5" s="864"/>
      <c r="J5" s="908"/>
      <c r="K5" s="909"/>
      <c r="L5" s="868"/>
      <c r="M5" s="869"/>
      <c r="N5" s="869"/>
      <c r="O5" s="869"/>
      <c r="P5" s="870"/>
      <c r="R5" s="842"/>
      <c r="S5" s="843"/>
      <c r="T5" s="852"/>
      <c r="U5" s="853"/>
      <c r="V5" s="853"/>
      <c r="W5" s="853"/>
      <c r="X5" s="854"/>
      <c r="Z5" s="185" t="s">
        <v>366</v>
      </c>
    </row>
    <row r="6" spans="1:27" ht="18.95" customHeight="1" x14ac:dyDescent="0.25">
      <c r="A6" s="834"/>
      <c r="B6" s="858"/>
      <c r="C6" s="859"/>
      <c r="D6" s="865"/>
      <c r="E6" s="866"/>
      <c r="F6" s="866"/>
      <c r="G6" s="866"/>
      <c r="H6" s="867"/>
      <c r="J6" s="838" t="s">
        <v>618</v>
      </c>
      <c r="K6" s="839"/>
      <c r="L6" s="846" t="s">
        <v>86</v>
      </c>
      <c r="M6" s="847"/>
      <c r="N6" s="847"/>
      <c r="O6" s="847"/>
      <c r="P6" s="848"/>
      <c r="R6" s="856" t="s">
        <v>87</v>
      </c>
      <c r="S6" s="857"/>
      <c r="T6" s="862" t="s">
        <v>577</v>
      </c>
      <c r="U6" s="863"/>
      <c r="V6" s="863"/>
      <c r="W6" s="863"/>
      <c r="X6" s="864"/>
      <c r="Z6" s="185" t="s">
        <v>367</v>
      </c>
    </row>
    <row r="7" spans="1:27" ht="18.95" customHeight="1" x14ac:dyDescent="0.3">
      <c r="A7" s="834"/>
      <c r="B7" s="858"/>
      <c r="C7" s="859"/>
      <c r="D7" s="865"/>
      <c r="E7" s="866"/>
      <c r="F7" s="866"/>
      <c r="G7" s="866"/>
      <c r="H7" s="867"/>
      <c r="J7" s="842"/>
      <c r="K7" s="843"/>
      <c r="L7" s="852"/>
      <c r="M7" s="853"/>
      <c r="N7" s="853"/>
      <c r="O7" s="853"/>
      <c r="P7" s="854"/>
      <c r="R7" s="858"/>
      <c r="S7" s="859"/>
      <c r="T7" s="865"/>
      <c r="U7" s="866"/>
      <c r="V7" s="866"/>
      <c r="W7" s="866"/>
      <c r="X7" s="867"/>
      <c r="Z7" s="185" t="s">
        <v>369</v>
      </c>
      <c r="AA7" s="47"/>
    </row>
    <row r="8" spans="1:27" ht="18.95" customHeight="1" x14ac:dyDescent="0.3">
      <c r="A8" s="834"/>
      <c r="B8" s="860"/>
      <c r="C8" s="861"/>
      <c r="D8" s="868"/>
      <c r="E8" s="869"/>
      <c r="F8" s="869"/>
      <c r="G8" s="869"/>
      <c r="H8" s="870"/>
      <c r="J8" s="856" t="s">
        <v>619</v>
      </c>
      <c r="K8" s="857"/>
      <c r="L8" s="862" t="s">
        <v>90</v>
      </c>
      <c r="M8" s="863"/>
      <c r="N8" s="863"/>
      <c r="O8" s="863"/>
      <c r="P8" s="864"/>
      <c r="R8" s="860"/>
      <c r="S8" s="861"/>
      <c r="T8" s="868"/>
      <c r="U8" s="869"/>
      <c r="V8" s="869"/>
      <c r="W8" s="869"/>
      <c r="X8" s="870"/>
      <c r="Z8" s="186"/>
      <c r="AA8" s="47"/>
    </row>
    <row r="9" spans="1:27" ht="18.95" customHeight="1" x14ac:dyDescent="0.25">
      <c r="B9" s="838" t="s">
        <v>647</v>
      </c>
      <c r="C9" s="839"/>
      <c r="D9" s="846" t="s">
        <v>648</v>
      </c>
      <c r="E9" s="847"/>
      <c r="F9" s="847"/>
      <c r="G9" s="847"/>
      <c r="H9" s="848"/>
      <c r="J9" s="858"/>
      <c r="K9" s="859"/>
      <c r="L9" s="865"/>
      <c r="M9" s="866"/>
      <c r="N9" s="866"/>
      <c r="O9" s="866"/>
      <c r="P9" s="867"/>
      <c r="R9" s="838" t="s">
        <v>92</v>
      </c>
      <c r="S9" s="839"/>
      <c r="T9" s="846" t="s">
        <v>93</v>
      </c>
      <c r="U9" s="847"/>
      <c r="V9" s="847"/>
      <c r="W9" s="847"/>
      <c r="X9" s="848"/>
      <c r="Z9" s="835" t="s">
        <v>368</v>
      </c>
    </row>
    <row r="10" spans="1:27" ht="18.95" customHeight="1" x14ac:dyDescent="0.25">
      <c r="B10" s="842"/>
      <c r="C10" s="843"/>
      <c r="D10" s="852"/>
      <c r="E10" s="853"/>
      <c r="F10" s="853"/>
      <c r="G10" s="853"/>
      <c r="H10" s="854"/>
      <c r="J10" s="860"/>
      <c r="K10" s="861"/>
      <c r="L10" s="868"/>
      <c r="M10" s="869"/>
      <c r="N10" s="869"/>
      <c r="O10" s="869"/>
      <c r="P10" s="870"/>
      <c r="R10" s="840"/>
      <c r="S10" s="841"/>
      <c r="T10" s="849"/>
      <c r="U10" s="850"/>
      <c r="V10" s="850"/>
      <c r="W10" s="850"/>
      <c r="X10" s="851"/>
      <c r="Z10" s="836"/>
    </row>
    <row r="11" spans="1:27" ht="18.95" customHeight="1" x14ac:dyDescent="0.25">
      <c r="B11" s="856" t="s">
        <v>76</v>
      </c>
      <c r="C11" s="857"/>
      <c r="D11" s="862" t="s">
        <v>77</v>
      </c>
      <c r="E11" s="863"/>
      <c r="F11" s="863"/>
      <c r="G11" s="863"/>
      <c r="H11" s="864"/>
      <c r="J11" s="838" t="s">
        <v>81</v>
      </c>
      <c r="K11" s="839"/>
      <c r="L11" s="846" t="s">
        <v>578</v>
      </c>
      <c r="M11" s="847"/>
      <c r="N11" s="847"/>
      <c r="O11" s="847"/>
      <c r="P11" s="848"/>
      <c r="R11" s="840"/>
      <c r="S11" s="841"/>
      <c r="T11" s="849"/>
      <c r="U11" s="850"/>
      <c r="V11" s="850"/>
      <c r="W11" s="850"/>
      <c r="X11" s="851"/>
      <c r="Z11" s="836"/>
    </row>
    <row r="12" spans="1:27" ht="18.95" customHeight="1" x14ac:dyDescent="0.25">
      <c r="B12" s="858"/>
      <c r="C12" s="859"/>
      <c r="D12" s="865"/>
      <c r="E12" s="866"/>
      <c r="F12" s="866"/>
      <c r="G12" s="866"/>
      <c r="H12" s="867"/>
      <c r="J12" s="840"/>
      <c r="K12" s="841"/>
      <c r="L12" s="849"/>
      <c r="M12" s="850"/>
      <c r="N12" s="850"/>
      <c r="O12" s="850"/>
      <c r="P12" s="851"/>
      <c r="R12" s="842"/>
      <c r="S12" s="843"/>
      <c r="T12" s="852"/>
      <c r="U12" s="853"/>
      <c r="V12" s="853"/>
      <c r="W12" s="853"/>
      <c r="X12" s="854"/>
      <c r="Z12" s="836"/>
    </row>
    <row r="13" spans="1:27" ht="18.95" customHeight="1" x14ac:dyDescent="0.25">
      <c r="B13" s="860"/>
      <c r="C13" s="861"/>
      <c r="D13" s="868"/>
      <c r="E13" s="869"/>
      <c r="F13" s="869"/>
      <c r="G13" s="869"/>
      <c r="H13" s="870"/>
      <c r="J13" s="842"/>
      <c r="K13" s="843"/>
      <c r="L13" s="852"/>
      <c r="M13" s="853"/>
      <c r="N13" s="853"/>
      <c r="O13" s="853"/>
      <c r="P13" s="854"/>
      <c r="R13" s="856" t="s">
        <v>711</v>
      </c>
      <c r="S13" s="857"/>
      <c r="T13" s="880" t="s">
        <v>712</v>
      </c>
      <c r="U13" s="881"/>
      <c r="V13" s="881"/>
      <c r="W13" s="881"/>
      <c r="X13" s="882"/>
      <c r="Z13" s="836"/>
    </row>
    <row r="14" spans="1:27" ht="18.95" customHeight="1" x14ac:dyDescent="0.25">
      <c r="B14" s="838" t="s">
        <v>94</v>
      </c>
      <c r="C14" s="839"/>
      <c r="D14" s="846" t="s">
        <v>95</v>
      </c>
      <c r="E14" s="847"/>
      <c r="F14" s="847"/>
      <c r="G14" s="847"/>
      <c r="H14" s="848"/>
      <c r="J14" s="856" t="s">
        <v>72</v>
      </c>
      <c r="K14" s="857"/>
      <c r="L14" s="862" t="s">
        <v>73</v>
      </c>
      <c r="M14" s="863"/>
      <c r="N14" s="863"/>
      <c r="O14" s="863"/>
      <c r="P14" s="864"/>
      <c r="R14" s="858"/>
      <c r="S14" s="859"/>
      <c r="T14" s="883"/>
      <c r="U14" s="884"/>
      <c r="V14" s="884"/>
      <c r="W14" s="884"/>
      <c r="X14" s="885"/>
      <c r="Z14" s="836"/>
    </row>
    <row r="15" spans="1:27" ht="18.95" customHeight="1" x14ac:dyDescent="0.25">
      <c r="B15" s="840"/>
      <c r="C15" s="841"/>
      <c r="D15" s="849"/>
      <c r="E15" s="850"/>
      <c r="F15" s="850"/>
      <c r="G15" s="850"/>
      <c r="H15" s="851"/>
      <c r="J15" s="858"/>
      <c r="K15" s="859"/>
      <c r="L15" s="865"/>
      <c r="M15" s="866"/>
      <c r="N15" s="866"/>
      <c r="O15" s="866"/>
      <c r="P15" s="867"/>
      <c r="R15" s="860"/>
      <c r="S15" s="861"/>
      <c r="T15" s="886"/>
      <c r="U15" s="887"/>
      <c r="V15" s="887"/>
      <c r="W15" s="887"/>
      <c r="X15" s="888"/>
      <c r="Z15" s="836"/>
    </row>
    <row r="16" spans="1:27" ht="18.95" customHeight="1" x14ac:dyDescent="0.25">
      <c r="B16" s="842"/>
      <c r="C16" s="843"/>
      <c r="D16" s="852"/>
      <c r="E16" s="853"/>
      <c r="F16" s="853"/>
      <c r="G16" s="853"/>
      <c r="H16" s="854"/>
      <c r="J16" s="860"/>
      <c r="K16" s="861"/>
      <c r="L16" s="868"/>
      <c r="M16" s="869"/>
      <c r="N16" s="869"/>
      <c r="O16" s="869"/>
      <c r="P16" s="870"/>
      <c r="R16" s="838" t="s">
        <v>579</v>
      </c>
      <c r="S16" s="839"/>
      <c r="T16" s="871" t="s">
        <v>580</v>
      </c>
      <c r="U16" s="872"/>
      <c r="V16" s="872"/>
      <c r="W16" s="872"/>
      <c r="X16" s="873"/>
      <c r="Z16" s="836"/>
    </row>
    <row r="17" spans="2:26" ht="18.95" customHeight="1" x14ac:dyDescent="0.25">
      <c r="B17" s="856" t="s">
        <v>91</v>
      </c>
      <c r="C17" s="857"/>
      <c r="D17" s="862" t="s">
        <v>361</v>
      </c>
      <c r="E17" s="863"/>
      <c r="F17" s="863"/>
      <c r="G17" s="863"/>
      <c r="H17" s="864"/>
      <c r="J17" s="838" t="s">
        <v>649</v>
      </c>
      <c r="K17" s="839"/>
      <c r="L17" s="846" t="s">
        <v>78</v>
      </c>
      <c r="M17" s="847"/>
      <c r="N17" s="847"/>
      <c r="O17" s="847"/>
      <c r="P17" s="848"/>
      <c r="R17" s="840"/>
      <c r="S17" s="841"/>
      <c r="T17" s="874"/>
      <c r="U17" s="875"/>
      <c r="V17" s="875"/>
      <c r="W17" s="875"/>
      <c r="X17" s="876"/>
      <c r="Z17" s="836"/>
    </row>
    <row r="18" spans="2:26" ht="18.95" customHeight="1" x14ac:dyDescent="0.25">
      <c r="B18" s="858"/>
      <c r="C18" s="859"/>
      <c r="D18" s="865"/>
      <c r="E18" s="866"/>
      <c r="F18" s="866"/>
      <c r="G18" s="866"/>
      <c r="H18" s="867"/>
      <c r="J18" s="840"/>
      <c r="K18" s="841"/>
      <c r="L18" s="849"/>
      <c r="M18" s="850"/>
      <c r="N18" s="850"/>
      <c r="O18" s="850"/>
      <c r="P18" s="851"/>
      <c r="R18" s="842"/>
      <c r="S18" s="843"/>
      <c r="T18" s="877"/>
      <c r="U18" s="878"/>
      <c r="V18" s="878"/>
      <c r="W18" s="878"/>
      <c r="X18" s="879"/>
      <c r="Z18" s="837"/>
    </row>
    <row r="19" spans="2:26" ht="18.95" customHeight="1" x14ac:dyDescent="0.25">
      <c r="B19" s="860"/>
      <c r="C19" s="861"/>
      <c r="D19" s="868"/>
      <c r="E19" s="869"/>
      <c r="F19" s="869"/>
      <c r="G19" s="869"/>
      <c r="H19" s="870"/>
      <c r="J19" s="842"/>
      <c r="K19" s="843"/>
      <c r="L19" s="852"/>
      <c r="M19" s="853"/>
      <c r="N19" s="853"/>
      <c r="O19" s="853"/>
      <c r="P19" s="854"/>
      <c r="R19" s="856" t="s">
        <v>582</v>
      </c>
      <c r="S19" s="857"/>
      <c r="T19" s="889" t="s">
        <v>581</v>
      </c>
      <c r="U19" s="890"/>
      <c r="V19" s="890"/>
      <c r="W19" s="890"/>
      <c r="X19" s="891"/>
    </row>
    <row r="20" spans="2:26" ht="18.95" customHeight="1" x14ac:dyDescent="0.25">
      <c r="B20" s="838" t="s">
        <v>84</v>
      </c>
      <c r="C20" s="839"/>
      <c r="D20" s="846" t="s">
        <v>85</v>
      </c>
      <c r="E20" s="847"/>
      <c r="F20" s="847"/>
      <c r="G20" s="847"/>
      <c r="H20" s="848"/>
      <c r="J20" s="856" t="s">
        <v>79</v>
      </c>
      <c r="K20" s="857"/>
      <c r="L20" s="862" t="s">
        <v>80</v>
      </c>
      <c r="M20" s="863"/>
      <c r="N20" s="863"/>
      <c r="O20" s="863"/>
      <c r="P20" s="864"/>
      <c r="Q20"/>
      <c r="R20" s="858"/>
      <c r="S20" s="859"/>
      <c r="T20" s="892"/>
      <c r="U20" s="893"/>
      <c r="V20" s="893"/>
      <c r="W20" s="893"/>
      <c r="X20" s="894"/>
    </row>
    <row r="21" spans="2:26" ht="18.95" customHeight="1" x14ac:dyDescent="0.25">
      <c r="B21" s="842"/>
      <c r="C21" s="843"/>
      <c r="D21" s="852"/>
      <c r="E21" s="853"/>
      <c r="F21" s="853"/>
      <c r="G21" s="853"/>
      <c r="H21" s="854"/>
      <c r="J21" s="860"/>
      <c r="K21" s="861"/>
      <c r="L21" s="868"/>
      <c r="M21" s="869"/>
      <c r="N21" s="869"/>
      <c r="O21" s="869"/>
      <c r="P21" s="870"/>
      <c r="Q21"/>
      <c r="R21" s="860"/>
      <c r="S21" s="861"/>
      <c r="T21" s="895"/>
      <c r="U21" s="896"/>
      <c r="V21" s="896"/>
      <c r="W21" s="896"/>
      <c r="X21" s="897"/>
    </row>
    <row r="22" spans="2:26" ht="18.95" customHeight="1" x14ac:dyDescent="0.25">
      <c r="B22" s="856" t="s">
        <v>74</v>
      </c>
      <c r="C22" s="857"/>
      <c r="D22" s="862" t="s">
        <v>75</v>
      </c>
      <c r="E22" s="863"/>
      <c r="F22" s="863"/>
      <c r="G22" s="863"/>
      <c r="H22" s="864"/>
      <c r="J22" s="838" t="s">
        <v>71</v>
      </c>
      <c r="K22" s="839"/>
      <c r="L22" s="846" t="s">
        <v>362</v>
      </c>
      <c r="M22" s="847"/>
      <c r="N22" s="847"/>
      <c r="O22" s="847"/>
      <c r="P22" s="848"/>
      <c r="Q22"/>
      <c r="R22" s="898" t="s">
        <v>584</v>
      </c>
      <c r="S22" s="899"/>
      <c r="T22" s="871" t="s">
        <v>583</v>
      </c>
      <c r="U22" s="872"/>
      <c r="V22" s="872"/>
      <c r="W22" s="872"/>
      <c r="X22" s="873"/>
    </row>
    <row r="23" spans="2:26" ht="18.95" customHeight="1" x14ac:dyDescent="0.25">
      <c r="B23" s="858"/>
      <c r="C23" s="859"/>
      <c r="D23" s="865"/>
      <c r="E23" s="866"/>
      <c r="F23" s="866"/>
      <c r="G23" s="866"/>
      <c r="H23" s="867"/>
      <c r="J23" s="840"/>
      <c r="K23" s="841"/>
      <c r="L23" s="849"/>
      <c r="M23" s="850"/>
      <c r="N23" s="850"/>
      <c r="O23" s="850"/>
      <c r="P23" s="851"/>
      <c r="R23" s="900"/>
      <c r="S23" s="901"/>
      <c r="T23" s="874"/>
      <c r="U23" s="875"/>
      <c r="V23" s="875"/>
      <c r="W23" s="875"/>
      <c r="X23" s="876"/>
    </row>
    <row r="24" spans="2:26" ht="18.95" customHeight="1" x14ac:dyDescent="0.25">
      <c r="B24" s="860"/>
      <c r="C24" s="861"/>
      <c r="D24" s="868"/>
      <c r="E24" s="869"/>
      <c r="F24" s="869"/>
      <c r="G24" s="869"/>
      <c r="H24" s="870"/>
      <c r="J24" s="842"/>
      <c r="K24" s="843"/>
      <c r="L24" s="852"/>
      <c r="M24" s="853"/>
      <c r="N24" s="853"/>
      <c r="O24" s="853"/>
      <c r="P24" s="854"/>
      <c r="R24" s="902"/>
      <c r="S24" s="903"/>
      <c r="T24" s="877"/>
      <c r="U24" s="878"/>
      <c r="V24" s="878"/>
      <c r="W24" s="878"/>
      <c r="X24" s="879"/>
    </row>
    <row r="25" spans="2:26" ht="18.95" customHeight="1" x14ac:dyDescent="0.25">
      <c r="B25" s="69"/>
      <c r="C25" s="69"/>
      <c r="D25" s="69"/>
      <c r="E25" s="69"/>
      <c r="F25" s="69"/>
      <c r="G25" s="69"/>
      <c r="H25" s="69"/>
    </row>
    <row r="26" spans="2:26" x14ac:dyDescent="0.25">
      <c r="B26" s="69"/>
      <c r="C26" s="69"/>
      <c r="D26" s="69"/>
      <c r="E26" s="69"/>
      <c r="F26" s="69"/>
      <c r="G26" s="69"/>
      <c r="H26" s="69"/>
    </row>
    <row r="28" spans="2:26" ht="15.75" x14ac:dyDescent="0.25">
      <c r="B28" s="248" t="s">
        <v>114</v>
      </c>
      <c r="C28" s="8"/>
      <c r="D28" s="8"/>
      <c r="E28" s="8"/>
      <c r="F28" s="8"/>
      <c r="G28" s="8"/>
      <c r="H28" s="8"/>
      <c r="I28" s="8" t="s">
        <v>115</v>
      </c>
      <c r="J28" s="9" t="s">
        <v>116</v>
      </c>
      <c r="K28" s="8"/>
      <c r="L28" s="8"/>
      <c r="M28" s="8"/>
      <c r="N28" s="8"/>
      <c r="O28" s="8"/>
      <c r="P28" s="8"/>
      <c r="Q28" s="8" t="s">
        <v>115</v>
      </c>
      <c r="R28" s="9" t="s">
        <v>117</v>
      </c>
      <c r="S28" s="8"/>
      <c r="T28" s="8"/>
      <c r="U28" s="8"/>
      <c r="V28" s="8"/>
      <c r="W28" s="8"/>
      <c r="X28" s="8"/>
      <c r="Y28" s="249"/>
      <c r="Z28" s="250"/>
    </row>
    <row r="29" spans="2:26" ht="15.75" x14ac:dyDescent="0.25">
      <c r="B29" s="252" t="s">
        <v>118</v>
      </c>
      <c r="C29" s="8"/>
      <c r="D29" s="8"/>
      <c r="E29" s="8"/>
      <c r="F29" s="8"/>
      <c r="G29" s="8"/>
      <c r="H29" s="8"/>
      <c r="I29" s="8" t="s">
        <v>115</v>
      </c>
      <c r="J29" s="248" t="s">
        <v>119</v>
      </c>
      <c r="K29" s="8"/>
      <c r="L29" s="8"/>
      <c r="M29" s="8"/>
      <c r="N29" s="8"/>
      <c r="O29" s="8"/>
      <c r="P29" s="8"/>
      <c r="Q29" s="8" t="s">
        <v>115</v>
      </c>
      <c r="R29" s="248" t="s">
        <v>120</v>
      </c>
      <c r="S29" s="8"/>
      <c r="T29" s="8"/>
      <c r="U29" s="8"/>
      <c r="V29" s="8"/>
      <c r="W29" s="8"/>
      <c r="X29" s="8"/>
      <c r="Y29" s="249"/>
      <c r="Z29" s="250"/>
    </row>
    <row r="30" spans="2:26" ht="15.75" x14ac:dyDescent="0.25">
      <c r="B30" s="248" t="s">
        <v>121</v>
      </c>
      <c r="C30" s="8"/>
      <c r="D30" s="8"/>
      <c r="E30" s="8"/>
      <c r="F30" s="8"/>
      <c r="G30" s="8"/>
      <c r="H30" s="8"/>
      <c r="I30" s="8" t="s">
        <v>115</v>
      </c>
      <c r="J30" s="252" t="s">
        <v>122</v>
      </c>
      <c r="K30" s="8"/>
      <c r="L30" s="8"/>
      <c r="M30" s="8"/>
      <c r="N30" s="8"/>
      <c r="O30" s="8"/>
      <c r="P30" s="8"/>
      <c r="Q30" s="8" t="s">
        <v>115</v>
      </c>
      <c r="R30" s="252" t="s">
        <v>123</v>
      </c>
      <c r="S30" s="8"/>
      <c r="T30" s="8"/>
      <c r="U30" s="8"/>
      <c r="V30" s="8"/>
      <c r="W30" s="8"/>
      <c r="X30" s="8"/>
      <c r="Y30" s="249"/>
      <c r="Z30" s="250"/>
    </row>
    <row r="31" spans="2:26" ht="15.75" x14ac:dyDescent="0.25">
      <c r="B31" s="252" t="s">
        <v>124</v>
      </c>
      <c r="C31" s="8"/>
      <c r="D31" s="8"/>
      <c r="E31" s="8"/>
      <c r="F31" s="8"/>
      <c r="G31" s="8"/>
      <c r="H31" s="8"/>
      <c r="I31" s="8" t="s">
        <v>115</v>
      </c>
      <c r="J31" s="248" t="s">
        <v>125</v>
      </c>
      <c r="K31" s="8"/>
      <c r="L31" s="8"/>
      <c r="M31" s="8"/>
      <c r="N31" s="8"/>
      <c r="O31" s="8"/>
      <c r="P31" s="8"/>
      <c r="Q31" s="8" t="s">
        <v>115</v>
      </c>
      <c r="R31" s="248" t="s">
        <v>126</v>
      </c>
      <c r="S31" s="8"/>
      <c r="T31" s="8"/>
      <c r="U31" s="8"/>
      <c r="V31" s="8"/>
      <c r="W31" s="8"/>
      <c r="X31" s="8"/>
      <c r="Y31" s="249"/>
      <c r="Z31" s="250"/>
    </row>
    <row r="32" spans="2:26" ht="15.75" x14ac:dyDescent="0.25">
      <c r="B32" s="248" t="s">
        <v>127</v>
      </c>
      <c r="C32" s="8"/>
      <c r="D32" s="8"/>
      <c r="E32" s="8"/>
      <c r="F32" s="8"/>
      <c r="G32" s="8"/>
      <c r="H32" s="8"/>
      <c r="I32" s="8" t="s">
        <v>115</v>
      </c>
      <c r="J32" s="252" t="s">
        <v>128</v>
      </c>
      <c r="K32" s="8"/>
      <c r="L32" s="8"/>
      <c r="M32" s="8"/>
      <c r="N32" s="8"/>
      <c r="O32" s="8"/>
      <c r="P32" s="8"/>
      <c r="Q32" s="8" t="s">
        <v>115</v>
      </c>
      <c r="R32" s="252" t="s">
        <v>129</v>
      </c>
      <c r="S32" s="8"/>
      <c r="T32" s="8"/>
      <c r="U32" s="8"/>
      <c r="V32" s="8"/>
      <c r="W32" s="8"/>
      <c r="X32" s="8"/>
      <c r="Y32" s="249"/>
      <c r="Z32" s="250"/>
    </row>
    <row r="33" spans="2:26" ht="15.75" x14ac:dyDescent="0.25">
      <c r="B33" s="252" t="s">
        <v>130</v>
      </c>
      <c r="C33" s="8"/>
      <c r="D33" s="8"/>
      <c r="E33" s="8"/>
      <c r="F33" s="8"/>
      <c r="G33" s="8"/>
      <c r="H33" s="8"/>
      <c r="I33" s="8" t="s">
        <v>115</v>
      </c>
      <c r="J33" s="248" t="s">
        <v>131</v>
      </c>
      <c r="K33" s="8"/>
      <c r="L33" s="8"/>
      <c r="M33" s="8"/>
      <c r="N33" s="8"/>
      <c r="O33" s="8"/>
      <c r="P33" s="8"/>
      <c r="Q33" s="8" t="s">
        <v>115</v>
      </c>
      <c r="R33" s="248" t="s">
        <v>132</v>
      </c>
      <c r="S33" s="8"/>
      <c r="T33" s="8"/>
      <c r="U33" s="8"/>
      <c r="V33" s="8"/>
      <c r="W33" s="8"/>
      <c r="X33" s="8"/>
      <c r="Y33" s="249"/>
      <c r="Z33" s="250"/>
    </row>
    <row r="34" spans="2:26" ht="15.75" x14ac:dyDescent="0.25">
      <c r="B34" s="248" t="s">
        <v>133</v>
      </c>
      <c r="C34" s="8"/>
      <c r="D34" s="8"/>
      <c r="E34" s="8"/>
      <c r="F34" s="8"/>
      <c r="G34" s="8"/>
      <c r="H34" s="8"/>
      <c r="I34" s="8" t="s">
        <v>115</v>
      </c>
      <c r="J34" s="252" t="s">
        <v>134</v>
      </c>
      <c r="K34" s="8"/>
      <c r="L34" s="8"/>
      <c r="M34" s="8"/>
      <c r="N34" s="8"/>
      <c r="O34" s="8"/>
      <c r="P34" s="8"/>
      <c r="Q34" s="8" t="s">
        <v>115</v>
      </c>
      <c r="R34" s="252" t="s">
        <v>135</v>
      </c>
      <c r="S34" s="8"/>
      <c r="T34" s="8"/>
      <c r="U34" s="8"/>
      <c r="V34" s="8"/>
      <c r="W34" s="8"/>
      <c r="X34" s="8"/>
      <c r="Y34" s="249"/>
      <c r="Z34" s="250"/>
    </row>
    <row r="35" spans="2:26" ht="15.75" x14ac:dyDescent="0.25">
      <c r="B35" s="252" t="s">
        <v>136</v>
      </c>
      <c r="C35" s="8"/>
      <c r="D35" s="8"/>
      <c r="E35" s="8"/>
      <c r="F35" s="8"/>
      <c r="G35" s="8"/>
      <c r="H35" s="8"/>
      <c r="I35" s="8" t="s">
        <v>115</v>
      </c>
      <c r="J35" s="248" t="s">
        <v>137</v>
      </c>
      <c r="K35" s="8"/>
      <c r="L35" s="8"/>
      <c r="M35" s="8"/>
      <c r="N35" s="8"/>
      <c r="O35" s="8"/>
      <c r="P35" s="8"/>
      <c r="Q35" s="8" t="s">
        <v>115</v>
      </c>
      <c r="R35" s="248" t="s">
        <v>138</v>
      </c>
      <c r="S35" s="8"/>
      <c r="T35" s="8"/>
      <c r="U35" s="8"/>
      <c r="V35" s="8"/>
      <c r="W35" s="8"/>
      <c r="X35" s="8"/>
      <c r="Y35" s="249"/>
      <c r="Z35" s="250"/>
    </row>
    <row r="36" spans="2:26" ht="15.75" x14ac:dyDescent="0.25">
      <c r="B36" s="248" t="s">
        <v>139</v>
      </c>
      <c r="C36" s="8"/>
      <c r="D36" s="8"/>
      <c r="E36" s="8"/>
      <c r="F36" s="8"/>
      <c r="G36" s="8"/>
      <c r="H36" s="8"/>
      <c r="I36" s="8" t="s">
        <v>115</v>
      </c>
      <c r="J36" s="252" t="s">
        <v>140</v>
      </c>
      <c r="K36" s="8"/>
      <c r="L36" s="8"/>
      <c r="M36" s="8"/>
      <c r="N36" s="8"/>
      <c r="O36" s="8"/>
      <c r="P36" s="8"/>
      <c r="Q36" s="8" t="s">
        <v>115</v>
      </c>
      <c r="R36" s="252" t="s">
        <v>141</v>
      </c>
      <c r="S36" s="8"/>
      <c r="T36" s="8"/>
      <c r="U36" s="8"/>
      <c r="V36" s="8"/>
      <c r="W36" s="8"/>
      <c r="X36" s="8"/>
      <c r="Y36" s="249"/>
      <c r="Z36" s="250"/>
    </row>
    <row r="37" spans="2:26" ht="15.75" x14ac:dyDescent="0.25">
      <c r="B37" s="252" t="s">
        <v>142</v>
      </c>
      <c r="C37" s="8"/>
      <c r="D37" s="8"/>
      <c r="E37" s="8"/>
      <c r="F37" s="8"/>
      <c r="G37" s="8"/>
      <c r="H37" s="8"/>
      <c r="I37" s="8" t="s">
        <v>115</v>
      </c>
      <c r="J37" s="248" t="s">
        <v>143</v>
      </c>
      <c r="K37" s="8"/>
      <c r="L37" s="8"/>
      <c r="M37" s="8"/>
      <c r="N37" s="8"/>
      <c r="O37" s="8"/>
      <c r="P37" s="8"/>
      <c r="Q37" s="8" t="s">
        <v>115</v>
      </c>
      <c r="R37" s="248" t="s">
        <v>139</v>
      </c>
      <c r="S37" s="8"/>
      <c r="T37" s="8"/>
      <c r="U37" s="8"/>
      <c r="V37" s="8"/>
      <c r="W37" s="8"/>
      <c r="X37" s="8"/>
      <c r="Y37" s="249"/>
      <c r="Z37" s="250"/>
    </row>
    <row r="38" spans="2:26" ht="15.75" x14ac:dyDescent="0.25">
      <c r="B38" s="248" t="s">
        <v>144</v>
      </c>
      <c r="C38" s="8"/>
      <c r="D38" s="8"/>
      <c r="E38" s="8"/>
      <c r="F38" s="8"/>
      <c r="G38" s="8"/>
      <c r="H38" s="8"/>
      <c r="I38" s="8" t="s">
        <v>115</v>
      </c>
      <c r="J38" s="252" t="s">
        <v>145</v>
      </c>
      <c r="K38" s="8"/>
      <c r="L38" s="8"/>
      <c r="M38" s="8"/>
      <c r="N38" s="8"/>
      <c r="O38" s="8"/>
      <c r="P38" s="8"/>
      <c r="Q38" s="8" t="s">
        <v>115</v>
      </c>
      <c r="R38" s="252" t="s">
        <v>146</v>
      </c>
      <c r="S38" s="8"/>
      <c r="T38" s="8"/>
      <c r="U38" s="8"/>
      <c r="V38" s="8"/>
      <c r="W38" s="8"/>
      <c r="X38" s="8"/>
      <c r="Y38" s="249"/>
      <c r="Z38" s="250"/>
    </row>
    <row r="39" spans="2:26" ht="15.75" x14ac:dyDescent="0.25">
      <c r="B39" s="252" t="s">
        <v>147</v>
      </c>
      <c r="C39" s="8"/>
      <c r="D39" s="8"/>
      <c r="E39" s="8"/>
      <c r="F39" s="8"/>
      <c r="G39" s="8"/>
      <c r="H39" s="8"/>
      <c r="I39" s="8" t="s">
        <v>115</v>
      </c>
      <c r="J39" s="248" t="s">
        <v>148</v>
      </c>
      <c r="K39" s="8"/>
      <c r="L39" s="8"/>
      <c r="M39" s="8"/>
      <c r="N39" s="8"/>
      <c r="O39" s="8"/>
      <c r="P39" s="8"/>
      <c r="Q39" s="8" t="s">
        <v>115</v>
      </c>
      <c r="R39" s="248" t="s">
        <v>149</v>
      </c>
      <c r="S39" s="8"/>
      <c r="T39" s="8"/>
      <c r="U39" s="8"/>
      <c r="V39" s="8"/>
      <c r="W39" s="8"/>
      <c r="X39" s="8"/>
      <c r="Y39" s="249"/>
      <c r="Z39" s="250"/>
    </row>
    <row r="40" spans="2:26" ht="15.75" x14ac:dyDescent="0.25">
      <c r="B40" s="248" t="s">
        <v>150</v>
      </c>
      <c r="C40" s="8"/>
      <c r="D40" s="8"/>
      <c r="E40" s="8"/>
      <c r="F40" s="8"/>
      <c r="G40" s="8"/>
      <c r="H40" s="8"/>
      <c r="I40" s="8" t="s">
        <v>115</v>
      </c>
      <c r="J40" s="252" t="s">
        <v>151</v>
      </c>
      <c r="K40" s="8"/>
      <c r="L40" s="8"/>
      <c r="M40" s="8"/>
      <c r="N40" s="8"/>
      <c r="O40" s="8"/>
      <c r="P40" s="8"/>
      <c r="Q40" s="8" t="s">
        <v>115</v>
      </c>
      <c r="R40" s="8"/>
      <c r="S40" s="8"/>
      <c r="T40" s="8"/>
      <c r="U40" s="8"/>
      <c r="V40" s="8"/>
      <c r="W40" s="8"/>
      <c r="X40" s="8"/>
      <c r="Y40" s="249"/>
      <c r="Z40" s="250"/>
    </row>
    <row r="41" spans="2:26" ht="15.75" x14ac:dyDescent="0.25">
      <c r="B41" s="252" t="s">
        <v>152</v>
      </c>
      <c r="C41" s="8"/>
      <c r="D41" s="8"/>
      <c r="E41" s="8"/>
      <c r="F41" s="8"/>
      <c r="G41" s="8"/>
      <c r="H41" s="8"/>
      <c r="I41" s="8" t="s">
        <v>115</v>
      </c>
      <c r="J41" s="8"/>
      <c r="K41" s="8"/>
      <c r="L41" s="8"/>
      <c r="M41" s="8"/>
      <c r="N41" s="8"/>
      <c r="O41" s="8"/>
      <c r="P41" s="8"/>
      <c r="Q41" s="8" t="s">
        <v>115</v>
      </c>
      <c r="R41" s="9" t="s">
        <v>153</v>
      </c>
      <c r="S41" s="8"/>
      <c r="T41" s="8"/>
      <c r="U41" s="8"/>
      <c r="V41" s="8"/>
      <c r="W41" s="8"/>
      <c r="X41" s="8"/>
      <c r="Y41" s="249"/>
      <c r="Z41" s="250"/>
    </row>
    <row r="42" spans="2:26" ht="15.75" x14ac:dyDescent="0.25">
      <c r="B42" s="248" t="s">
        <v>154</v>
      </c>
      <c r="C42" s="8"/>
      <c r="D42" s="8"/>
      <c r="E42" s="8"/>
      <c r="F42" s="8"/>
      <c r="G42" s="8"/>
      <c r="H42" s="8"/>
      <c r="I42" s="8" t="s">
        <v>115</v>
      </c>
      <c r="J42" s="9" t="s">
        <v>155</v>
      </c>
      <c r="K42" s="8"/>
      <c r="L42" s="8"/>
      <c r="M42" s="8"/>
      <c r="N42" s="8"/>
      <c r="O42" s="8"/>
      <c r="P42" s="8"/>
      <c r="Q42" s="8" t="s">
        <v>115</v>
      </c>
      <c r="R42" s="248" t="s">
        <v>156</v>
      </c>
      <c r="S42" s="8"/>
      <c r="T42" s="8"/>
      <c r="U42" s="8"/>
      <c r="V42" s="8"/>
      <c r="W42" s="8"/>
      <c r="X42" s="8"/>
      <c r="Y42" s="249"/>
      <c r="Z42" s="250"/>
    </row>
    <row r="43" spans="2:26" ht="15.75" x14ac:dyDescent="0.25">
      <c r="B43" s="252" t="s">
        <v>157</v>
      </c>
      <c r="C43" s="8"/>
      <c r="D43" s="8"/>
      <c r="E43" s="8"/>
      <c r="F43" s="8"/>
      <c r="G43" s="8"/>
      <c r="H43" s="8"/>
      <c r="I43" s="8" t="s">
        <v>115</v>
      </c>
      <c r="J43" s="248" t="s">
        <v>158</v>
      </c>
      <c r="K43" s="8"/>
      <c r="L43" s="8"/>
      <c r="M43" s="8"/>
      <c r="N43" s="8"/>
      <c r="O43" s="8"/>
      <c r="P43" s="8"/>
      <c r="Q43" s="8" t="s">
        <v>115</v>
      </c>
      <c r="R43" s="252" t="s">
        <v>159</v>
      </c>
      <c r="S43" s="8"/>
      <c r="T43" s="8"/>
      <c r="U43" s="8"/>
      <c r="V43" s="8"/>
      <c r="W43" s="8"/>
      <c r="X43" s="8"/>
      <c r="Y43" s="249"/>
      <c r="Z43" s="250"/>
    </row>
    <row r="44" spans="2:26" ht="15.75" x14ac:dyDescent="0.25">
      <c r="B44" s="248" t="s">
        <v>160</v>
      </c>
      <c r="C44" s="8"/>
      <c r="D44" s="8"/>
      <c r="E44" s="8"/>
      <c r="F44" s="8"/>
      <c r="G44" s="8"/>
      <c r="H44" s="8"/>
      <c r="I44" s="8" t="s">
        <v>115</v>
      </c>
      <c r="J44" s="252" t="s">
        <v>161</v>
      </c>
      <c r="K44" s="8"/>
      <c r="L44" s="8"/>
      <c r="M44" s="8"/>
      <c r="N44" s="8"/>
      <c r="O44" s="8"/>
      <c r="P44" s="8"/>
      <c r="Q44" s="8" t="s">
        <v>115</v>
      </c>
      <c r="R44" s="248" t="s">
        <v>162</v>
      </c>
      <c r="S44" s="8"/>
      <c r="T44" s="8"/>
      <c r="U44" s="8"/>
      <c r="V44" s="8"/>
      <c r="W44" s="8"/>
      <c r="X44" s="8"/>
      <c r="Y44" s="249"/>
      <c r="Z44" s="250"/>
    </row>
    <row r="45" spans="2:26" ht="15.75" x14ac:dyDescent="0.25">
      <c r="B45" s="252" t="s">
        <v>163</v>
      </c>
      <c r="C45" s="8"/>
      <c r="D45" s="8"/>
      <c r="E45" s="8"/>
      <c r="F45" s="8"/>
      <c r="G45" s="8"/>
      <c r="H45" s="8"/>
      <c r="I45" s="8" t="s">
        <v>115</v>
      </c>
      <c r="J45" s="248" t="s">
        <v>164</v>
      </c>
      <c r="K45" s="8"/>
      <c r="L45" s="8"/>
      <c r="M45" s="8"/>
      <c r="N45" s="8"/>
      <c r="O45" s="8"/>
      <c r="P45" s="8"/>
      <c r="Q45" s="8" t="s">
        <v>115</v>
      </c>
      <c r="R45" s="252" t="s">
        <v>165</v>
      </c>
      <c r="S45" s="8"/>
      <c r="T45" s="8"/>
      <c r="U45" s="8"/>
      <c r="V45" s="8"/>
      <c r="W45" s="8"/>
      <c r="X45" s="8"/>
      <c r="Y45" s="249"/>
      <c r="Z45" s="250"/>
    </row>
    <row r="46" spans="2:26" ht="15.75" x14ac:dyDescent="0.25">
      <c r="B46" s="248" t="s">
        <v>166</v>
      </c>
      <c r="C46" s="8"/>
      <c r="D46" s="8"/>
      <c r="E46" s="8"/>
      <c r="F46" s="8"/>
      <c r="G46" s="8"/>
      <c r="H46" s="8"/>
      <c r="I46" s="8" t="s">
        <v>115</v>
      </c>
      <c r="J46" s="252" t="s">
        <v>167</v>
      </c>
      <c r="K46" s="8"/>
      <c r="L46" s="8"/>
      <c r="M46" s="8"/>
      <c r="N46" s="8"/>
      <c r="O46" s="8"/>
      <c r="P46" s="8"/>
      <c r="Q46" s="8" t="s">
        <v>115</v>
      </c>
      <c r="R46" s="248" t="s">
        <v>168</v>
      </c>
      <c r="S46" s="8"/>
      <c r="T46" s="8"/>
      <c r="U46" s="8"/>
      <c r="V46" s="8"/>
      <c r="W46" s="8"/>
      <c r="X46" s="8"/>
      <c r="Y46" s="249"/>
      <c r="Z46" s="250"/>
    </row>
    <row r="47" spans="2:26" ht="15.75" x14ac:dyDescent="0.25">
      <c r="B47" s="252" t="s">
        <v>169</v>
      </c>
      <c r="C47" s="8"/>
      <c r="D47" s="8"/>
      <c r="E47" s="8"/>
      <c r="F47" s="8"/>
      <c r="G47" s="8"/>
      <c r="H47" s="8"/>
      <c r="I47" s="8" t="s">
        <v>115</v>
      </c>
      <c r="J47" s="248" t="s">
        <v>170</v>
      </c>
      <c r="K47" s="8"/>
      <c r="L47" s="8"/>
      <c r="M47" s="8"/>
      <c r="N47" s="8"/>
      <c r="O47" s="8"/>
      <c r="P47" s="8"/>
      <c r="Q47" s="8" t="s">
        <v>115</v>
      </c>
      <c r="R47" s="252" t="s">
        <v>171</v>
      </c>
      <c r="S47" s="8"/>
      <c r="T47" s="8"/>
      <c r="U47" s="8"/>
      <c r="V47" s="8"/>
      <c r="W47" s="8"/>
      <c r="X47" s="8"/>
      <c r="Y47" s="249"/>
      <c r="Z47" s="250"/>
    </row>
    <row r="48" spans="2:26" ht="15.75" x14ac:dyDescent="0.25">
      <c r="B48" s="248" t="s">
        <v>172</v>
      </c>
      <c r="C48" s="8"/>
      <c r="D48" s="8"/>
      <c r="E48" s="8"/>
      <c r="F48" s="8"/>
      <c r="G48" s="8"/>
      <c r="H48" s="8"/>
      <c r="I48" s="8" t="s">
        <v>115</v>
      </c>
      <c r="J48" s="252" t="s">
        <v>173</v>
      </c>
      <c r="K48" s="8"/>
      <c r="L48" s="8"/>
      <c r="M48" s="8"/>
      <c r="N48" s="8"/>
      <c r="O48" s="8"/>
      <c r="P48" s="8"/>
      <c r="Q48" s="8" t="s">
        <v>115</v>
      </c>
      <c r="R48" s="248" t="s">
        <v>174</v>
      </c>
      <c r="S48" s="8"/>
      <c r="T48" s="8"/>
      <c r="U48" s="8"/>
      <c r="V48" s="8"/>
      <c r="W48" s="8"/>
      <c r="X48" s="8"/>
      <c r="Y48" s="249"/>
      <c r="Z48" s="250"/>
    </row>
    <row r="49" spans="2:26" ht="15.75" x14ac:dyDescent="0.25">
      <c r="B49" s="252" t="s">
        <v>175</v>
      </c>
      <c r="C49" s="8"/>
      <c r="D49" s="8"/>
      <c r="E49" s="8"/>
      <c r="F49" s="8"/>
      <c r="G49" s="8"/>
      <c r="H49" s="8"/>
      <c r="I49" s="8" t="s">
        <v>115</v>
      </c>
      <c r="J49" s="248" t="s">
        <v>176</v>
      </c>
      <c r="K49" s="8"/>
      <c r="L49" s="8"/>
      <c r="M49" s="8"/>
      <c r="N49" s="8"/>
      <c r="O49" s="8"/>
      <c r="P49" s="8"/>
      <c r="Q49" s="8" t="s">
        <v>115</v>
      </c>
      <c r="R49" s="252" t="s">
        <v>177</v>
      </c>
      <c r="S49" s="8"/>
      <c r="T49" s="8"/>
      <c r="U49" s="8"/>
      <c r="V49" s="8"/>
      <c r="W49" s="8"/>
      <c r="X49" s="8"/>
      <c r="Y49" s="249"/>
      <c r="Z49" s="250"/>
    </row>
    <row r="50" spans="2:26" ht="15.75" x14ac:dyDescent="0.25">
      <c r="B50" s="248" t="s">
        <v>178</v>
      </c>
      <c r="C50" s="8"/>
      <c r="D50" s="8"/>
      <c r="E50" s="8"/>
      <c r="F50" s="8"/>
      <c r="G50" s="8"/>
      <c r="H50" s="8"/>
      <c r="I50" s="8" t="s">
        <v>115</v>
      </c>
      <c r="J50" s="8"/>
      <c r="K50" s="8"/>
      <c r="L50" s="8"/>
      <c r="M50" s="8"/>
      <c r="N50" s="8"/>
      <c r="O50" s="8"/>
      <c r="P50" s="8"/>
      <c r="Q50" s="8" t="s">
        <v>115</v>
      </c>
      <c r="R50" s="248" t="s">
        <v>646</v>
      </c>
      <c r="S50" s="8"/>
      <c r="T50" s="8"/>
      <c r="U50" s="8"/>
      <c r="V50" s="8"/>
      <c r="W50" s="8"/>
      <c r="X50" s="8"/>
      <c r="Y50" s="249"/>
      <c r="Z50" s="250"/>
    </row>
    <row r="51" spans="2:26" ht="15.75" x14ac:dyDescent="0.25">
      <c r="B51" s="252" t="s">
        <v>179</v>
      </c>
      <c r="C51" s="8"/>
      <c r="D51" s="8"/>
      <c r="E51" s="8"/>
      <c r="F51" s="8"/>
      <c r="G51" s="8"/>
      <c r="H51" s="8"/>
      <c r="I51" s="8" t="s">
        <v>115</v>
      </c>
      <c r="J51" s="9" t="s">
        <v>180</v>
      </c>
      <c r="K51" s="8"/>
      <c r="L51" s="8"/>
      <c r="M51" s="8"/>
      <c r="N51" s="8"/>
      <c r="O51" s="8"/>
      <c r="P51" s="8"/>
      <c r="Q51" s="8" t="s">
        <v>115</v>
      </c>
      <c r="R51" s="248"/>
      <c r="S51" s="8"/>
      <c r="T51" s="8"/>
      <c r="U51" s="8"/>
      <c r="V51" s="8"/>
      <c r="W51" s="8"/>
      <c r="X51" s="8"/>
      <c r="Y51" s="249"/>
      <c r="Z51" s="250"/>
    </row>
    <row r="52" spans="2:26" ht="15.75" x14ac:dyDescent="0.25">
      <c r="B52" s="248" t="s">
        <v>181</v>
      </c>
      <c r="C52" s="8"/>
      <c r="D52" s="8"/>
      <c r="E52" s="8"/>
      <c r="F52" s="8"/>
      <c r="G52" s="8"/>
      <c r="H52" s="8"/>
      <c r="I52" s="8" t="s">
        <v>115</v>
      </c>
      <c r="J52" s="248" t="s">
        <v>182</v>
      </c>
      <c r="K52" s="8"/>
      <c r="L52" s="8"/>
      <c r="M52" s="8"/>
      <c r="N52" s="8"/>
      <c r="O52" s="8"/>
      <c r="P52" s="8"/>
      <c r="Q52" s="8" t="s">
        <v>115</v>
      </c>
      <c r="R52" s="248" t="s">
        <v>183</v>
      </c>
      <c r="S52" s="8"/>
      <c r="T52" s="8"/>
      <c r="U52" s="8"/>
      <c r="V52" s="8"/>
      <c r="W52" s="8"/>
      <c r="X52" s="8"/>
      <c r="Y52" s="249"/>
      <c r="Z52" s="250"/>
    </row>
    <row r="53" spans="2:26" ht="15.75" x14ac:dyDescent="0.25">
      <c r="B53" s="252" t="s">
        <v>184</v>
      </c>
      <c r="C53" s="8"/>
      <c r="D53" s="8"/>
      <c r="E53" s="8"/>
      <c r="F53" s="8"/>
      <c r="G53" s="8"/>
      <c r="H53" s="8"/>
      <c r="I53" s="8" t="s">
        <v>115</v>
      </c>
      <c r="J53" s="252" t="s">
        <v>185</v>
      </c>
      <c r="K53" s="8"/>
      <c r="L53" s="8"/>
      <c r="M53" s="8"/>
      <c r="N53" s="8"/>
      <c r="O53" s="8"/>
      <c r="P53" s="8"/>
      <c r="Q53" s="8" t="s">
        <v>115</v>
      </c>
      <c r="R53" s="252" t="s">
        <v>186</v>
      </c>
      <c r="S53" s="8"/>
      <c r="T53" s="8"/>
      <c r="U53" s="8"/>
      <c r="V53" s="8"/>
      <c r="W53" s="8"/>
      <c r="X53" s="8"/>
      <c r="Y53" s="249"/>
      <c r="Z53" s="250"/>
    </row>
    <row r="54" spans="2:26" ht="15.75" x14ac:dyDescent="0.25">
      <c r="B54" s="248" t="s">
        <v>187</v>
      </c>
      <c r="C54" s="8"/>
      <c r="D54" s="8"/>
      <c r="E54" s="8"/>
      <c r="F54" s="8"/>
      <c r="G54" s="8"/>
      <c r="H54" s="8"/>
      <c r="I54" s="8" t="s">
        <v>115</v>
      </c>
      <c r="J54" s="248" t="s">
        <v>188</v>
      </c>
      <c r="K54" s="8"/>
      <c r="L54" s="8"/>
      <c r="M54" s="8"/>
      <c r="N54" s="8"/>
      <c r="O54" s="8"/>
      <c r="P54" s="8"/>
      <c r="Q54" s="8" t="s">
        <v>115</v>
      </c>
      <c r="R54" s="248" t="s">
        <v>189</v>
      </c>
      <c r="S54" s="8"/>
      <c r="T54" s="8"/>
      <c r="U54" s="8"/>
      <c r="V54" s="8"/>
      <c r="W54" s="8"/>
      <c r="X54" s="8"/>
      <c r="Y54" s="249"/>
      <c r="Z54" s="250"/>
    </row>
    <row r="55" spans="2:26" ht="15.75" x14ac:dyDescent="0.25">
      <c r="B55" s="252" t="s">
        <v>190</v>
      </c>
      <c r="C55" s="8"/>
      <c r="D55" s="8"/>
      <c r="E55" s="8"/>
      <c r="F55" s="8"/>
      <c r="G55" s="8"/>
      <c r="H55" s="8"/>
      <c r="I55" s="8" t="s">
        <v>115</v>
      </c>
      <c r="J55" s="252" t="s">
        <v>191</v>
      </c>
      <c r="K55" s="8"/>
      <c r="L55" s="8"/>
      <c r="M55" s="8"/>
      <c r="N55" s="8"/>
      <c r="O55" s="8"/>
      <c r="P55" s="8"/>
      <c r="Q55" s="8" t="s">
        <v>115</v>
      </c>
      <c r="R55" s="251"/>
      <c r="S55" s="8"/>
      <c r="T55" s="8"/>
      <c r="U55" s="8"/>
      <c r="V55" s="8"/>
      <c r="W55" s="8"/>
      <c r="X55" s="8"/>
      <c r="Y55" s="249"/>
      <c r="Z55" s="250"/>
    </row>
    <row r="56" spans="2:26" ht="15.75" x14ac:dyDescent="0.25">
      <c r="B56" s="248" t="s">
        <v>192</v>
      </c>
      <c r="C56" s="8"/>
      <c r="D56" s="8"/>
      <c r="E56" s="8"/>
      <c r="F56" s="8"/>
      <c r="G56" s="8"/>
      <c r="H56" s="8"/>
      <c r="I56" s="8" t="s">
        <v>115</v>
      </c>
      <c r="J56" s="248" t="s">
        <v>193</v>
      </c>
      <c r="K56" s="8"/>
      <c r="L56" s="8"/>
      <c r="M56" s="8"/>
      <c r="N56" s="8"/>
      <c r="O56" s="8"/>
      <c r="P56" s="8"/>
      <c r="Q56" s="8" t="s">
        <v>115</v>
      </c>
      <c r="R56" s="9" t="s">
        <v>194</v>
      </c>
      <c r="S56" s="8"/>
      <c r="T56" s="8"/>
      <c r="U56" s="8"/>
      <c r="V56" s="8"/>
      <c r="W56" s="8"/>
      <c r="X56" s="8"/>
      <c r="Y56" s="249"/>
      <c r="Z56" s="250"/>
    </row>
    <row r="57" spans="2:26" ht="15.75" x14ac:dyDescent="0.25">
      <c r="B57" s="252" t="s">
        <v>195</v>
      </c>
      <c r="C57" s="8"/>
      <c r="D57" s="8"/>
      <c r="E57" s="8"/>
      <c r="F57" s="8"/>
      <c r="G57" s="8"/>
      <c r="H57" s="8"/>
      <c r="I57" s="8" t="s">
        <v>115</v>
      </c>
      <c r="J57" s="252" t="s">
        <v>196</v>
      </c>
      <c r="K57" s="8"/>
      <c r="L57" s="8"/>
      <c r="M57" s="8"/>
      <c r="N57" s="8"/>
      <c r="O57" s="8"/>
      <c r="P57" s="8"/>
      <c r="Q57" s="8" t="s">
        <v>115</v>
      </c>
      <c r="R57" s="248" t="s">
        <v>197</v>
      </c>
      <c r="S57" s="8"/>
      <c r="T57" s="8"/>
      <c r="U57" s="8"/>
      <c r="V57" s="8"/>
      <c r="W57" s="8"/>
      <c r="X57" s="8"/>
      <c r="Y57" s="249"/>
      <c r="Z57" s="250"/>
    </row>
    <row r="58" spans="2:26" ht="15.75" x14ac:dyDescent="0.25">
      <c r="B58" s="248" t="s">
        <v>198</v>
      </c>
      <c r="C58" s="8"/>
      <c r="D58" s="8"/>
      <c r="E58" s="8"/>
      <c r="F58" s="8"/>
      <c r="G58" s="8"/>
      <c r="H58" s="8"/>
      <c r="I58" s="8" t="s">
        <v>115</v>
      </c>
      <c r="J58" s="248" t="s">
        <v>199</v>
      </c>
      <c r="K58" s="8"/>
      <c r="L58" s="8"/>
      <c r="M58" s="8"/>
      <c r="N58" s="8"/>
      <c r="O58" s="8"/>
      <c r="P58" s="8"/>
      <c r="Q58" s="8" t="s">
        <v>115</v>
      </c>
      <c r="R58" s="252" t="s">
        <v>200</v>
      </c>
      <c r="S58" s="8"/>
      <c r="T58" s="8"/>
      <c r="U58" s="8"/>
      <c r="V58" s="8"/>
      <c r="W58" s="8"/>
      <c r="X58" s="8"/>
      <c r="Y58" s="249"/>
      <c r="Z58" s="250"/>
    </row>
    <row r="59" spans="2:26" ht="15.75" x14ac:dyDescent="0.25">
      <c r="B59" s="252" t="s">
        <v>201</v>
      </c>
      <c r="C59" s="8"/>
      <c r="D59" s="8"/>
      <c r="E59" s="8"/>
      <c r="F59" s="8"/>
      <c r="G59" s="8"/>
      <c r="H59" s="8"/>
      <c r="I59" s="8" t="s">
        <v>115</v>
      </c>
      <c r="J59" s="252" t="s">
        <v>202</v>
      </c>
      <c r="K59" s="8"/>
      <c r="L59" s="8"/>
      <c r="M59" s="8"/>
      <c r="N59" s="8"/>
      <c r="O59" s="8"/>
      <c r="P59" s="8"/>
      <c r="Q59" s="8" t="s">
        <v>115</v>
      </c>
      <c r="R59" s="248" t="s">
        <v>203</v>
      </c>
      <c r="S59" s="8"/>
      <c r="T59" s="8"/>
      <c r="U59" s="8"/>
      <c r="V59" s="8"/>
      <c r="W59" s="8"/>
      <c r="X59" s="8"/>
      <c r="Y59" s="249"/>
      <c r="Z59" s="250"/>
    </row>
    <row r="60" spans="2:26" ht="15.75" x14ac:dyDescent="0.25">
      <c r="B60" s="248"/>
      <c r="C60" s="8"/>
      <c r="D60" s="8"/>
      <c r="E60" s="8"/>
      <c r="F60" s="8"/>
      <c r="G60" s="8"/>
      <c r="H60" s="8"/>
      <c r="I60" s="8" t="s">
        <v>115</v>
      </c>
      <c r="J60" s="248" t="s">
        <v>204</v>
      </c>
      <c r="K60" s="8"/>
      <c r="L60" s="8"/>
      <c r="M60" s="8"/>
      <c r="N60" s="8"/>
      <c r="O60" s="8"/>
      <c r="P60" s="8"/>
      <c r="Q60" s="8" t="s">
        <v>115</v>
      </c>
      <c r="R60" s="252" t="s">
        <v>205</v>
      </c>
      <c r="S60" s="8"/>
      <c r="T60" s="8"/>
      <c r="U60" s="8"/>
      <c r="V60" s="8"/>
      <c r="W60" s="8"/>
      <c r="X60" s="8"/>
      <c r="Y60" s="249"/>
      <c r="Z60" s="250"/>
    </row>
    <row r="61" spans="2:26" ht="15.75" x14ac:dyDescent="0.25">
      <c r="B61" s="252" t="s">
        <v>206</v>
      </c>
      <c r="C61" s="8"/>
      <c r="D61" s="8"/>
      <c r="E61" s="8"/>
      <c r="F61" s="8"/>
      <c r="G61" s="8"/>
      <c r="H61" s="8"/>
      <c r="I61" s="8" t="s">
        <v>115</v>
      </c>
      <c r="J61" s="252" t="s">
        <v>207</v>
      </c>
      <c r="K61" s="8"/>
      <c r="L61" s="8"/>
      <c r="M61" s="8"/>
      <c r="N61" s="8"/>
      <c r="O61" s="8"/>
      <c r="P61" s="8"/>
      <c r="Q61" s="8" t="s">
        <v>115</v>
      </c>
      <c r="R61" s="248" t="s">
        <v>208</v>
      </c>
      <c r="S61" s="8"/>
      <c r="T61" s="8"/>
      <c r="U61" s="8"/>
      <c r="V61" s="8"/>
      <c r="W61" s="8"/>
      <c r="X61" s="8"/>
      <c r="Y61" s="249"/>
      <c r="Z61" s="250"/>
    </row>
    <row r="62" spans="2:26" ht="15.75" x14ac:dyDescent="0.25">
      <c r="B62" s="248" t="s">
        <v>209</v>
      </c>
      <c r="C62" s="8"/>
      <c r="D62" s="8"/>
      <c r="E62" s="8"/>
      <c r="F62" s="8"/>
      <c r="G62" s="8"/>
      <c r="H62" s="8"/>
      <c r="I62" s="8" t="s">
        <v>115</v>
      </c>
      <c r="J62" s="248" t="s">
        <v>210</v>
      </c>
      <c r="K62" s="8"/>
      <c r="L62" s="8"/>
      <c r="M62" s="8"/>
      <c r="N62" s="8"/>
      <c r="O62" s="8"/>
      <c r="P62" s="8"/>
      <c r="Q62" s="8" t="s">
        <v>115</v>
      </c>
      <c r="R62" s="252" t="s">
        <v>211</v>
      </c>
      <c r="S62" s="8"/>
      <c r="T62" s="8"/>
      <c r="U62" s="8"/>
      <c r="V62" s="8"/>
      <c r="W62" s="8"/>
      <c r="X62" s="8"/>
      <c r="Y62" s="249"/>
      <c r="Z62" s="250"/>
    </row>
    <row r="63" spans="2:26" ht="15.75" x14ac:dyDescent="0.25">
      <c r="B63" s="252" t="s">
        <v>212</v>
      </c>
      <c r="C63" s="8"/>
      <c r="D63" s="8"/>
      <c r="E63" s="8"/>
      <c r="F63" s="8"/>
      <c r="G63" s="8"/>
      <c r="H63" s="8"/>
      <c r="I63" s="8" t="s">
        <v>115</v>
      </c>
      <c r="J63" s="252" t="s">
        <v>213</v>
      </c>
      <c r="K63" s="8"/>
      <c r="L63" s="8"/>
      <c r="M63" s="8"/>
      <c r="N63" s="8"/>
      <c r="O63" s="8"/>
      <c r="P63" s="8"/>
      <c r="Q63" s="8" t="s">
        <v>115</v>
      </c>
      <c r="R63" s="248" t="s">
        <v>214</v>
      </c>
      <c r="S63" s="8"/>
      <c r="T63" s="8"/>
      <c r="U63" s="8"/>
      <c r="V63" s="8"/>
      <c r="W63" s="8"/>
      <c r="X63" s="8"/>
      <c r="Y63" s="249"/>
      <c r="Z63" s="250"/>
    </row>
    <row r="64" spans="2:26" ht="15.75" x14ac:dyDescent="0.25">
      <c r="B64" s="248" t="s">
        <v>215</v>
      </c>
      <c r="C64" s="8"/>
      <c r="D64" s="8"/>
      <c r="E64" s="8"/>
      <c r="F64" s="8"/>
      <c r="G64" s="8"/>
      <c r="H64" s="8"/>
      <c r="I64" s="8" t="s">
        <v>115</v>
      </c>
      <c r="J64" s="248" t="s">
        <v>216</v>
      </c>
      <c r="K64" s="8"/>
      <c r="L64" s="8"/>
      <c r="M64" s="8"/>
      <c r="N64" s="8"/>
      <c r="O64" s="8"/>
      <c r="P64" s="8"/>
      <c r="Q64" s="8" t="s">
        <v>115</v>
      </c>
      <c r="R64" s="252" t="s">
        <v>217</v>
      </c>
      <c r="S64" s="8"/>
      <c r="T64" s="8"/>
      <c r="U64" s="8"/>
      <c r="V64" s="8"/>
      <c r="W64" s="8"/>
      <c r="X64" s="8"/>
      <c r="Y64" s="249"/>
      <c r="Z64" s="250"/>
    </row>
    <row r="65" spans="2:26" ht="15.75" x14ac:dyDescent="0.25">
      <c r="B65" s="252" t="s">
        <v>218</v>
      </c>
      <c r="C65" s="8"/>
      <c r="D65" s="8"/>
      <c r="E65" s="8"/>
      <c r="F65" s="8"/>
      <c r="G65" s="8"/>
      <c r="H65" s="8"/>
      <c r="I65" s="8" t="s">
        <v>115</v>
      </c>
      <c r="J65" s="251"/>
      <c r="K65" s="8"/>
      <c r="L65" s="8"/>
      <c r="M65" s="8"/>
      <c r="N65" s="8"/>
      <c r="O65" s="8"/>
      <c r="P65" s="8"/>
      <c r="Q65" s="8" t="s">
        <v>115</v>
      </c>
      <c r="R65" s="248" t="s">
        <v>219</v>
      </c>
      <c r="S65" s="8"/>
      <c r="T65" s="8"/>
      <c r="U65" s="8"/>
      <c r="V65" s="8"/>
      <c r="W65" s="8"/>
      <c r="X65" s="8"/>
      <c r="Y65" s="249"/>
      <c r="Z65" s="250"/>
    </row>
    <row r="66" spans="2:26" ht="15.75" x14ac:dyDescent="0.25">
      <c r="B66" s="248" t="s">
        <v>220</v>
      </c>
      <c r="C66" s="8"/>
      <c r="D66" s="8"/>
      <c r="E66" s="8"/>
      <c r="F66" s="8"/>
      <c r="G66" s="8"/>
      <c r="H66" s="8"/>
      <c r="I66" s="8" t="s">
        <v>115</v>
      </c>
      <c r="J66" s="9" t="s">
        <v>221</v>
      </c>
      <c r="K66" s="8"/>
      <c r="L66" s="8"/>
      <c r="M66" s="8"/>
      <c r="N66" s="8"/>
      <c r="O66" s="8"/>
      <c r="P66" s="8"/>
      <c r="Q66" s="8" t="s">
        <v>115</v>
      </c>
      <c r="R66" s="252" t="s">
        <v>222</v>
      </c>
      <c r="S66" s="8"/>
      <c r="T66" s="8"/>
      <c r="U66" s="8"/>
      <c r="V66" s="8"/>
      <c r="W66" s="8"/>
      <c r="X66" s="8"/>
      <c r="Y66" s="249"/>
      <c r="Z66" s="250"/>
    </row>
    <row r="67" spans="2:26" ht="15.75" x14ac:dyDescent="0.25">
      <c r="B67" s="252" t="s">
        <v>223</v>
      </c>
      <c r="C67" s="8"/>
      <c r="D67" s="8"/>
      <c r="E67" s="8"/>
      <c r="F67" s="8"/>
      <c r="G67" s="8"/>
      <c r="H67" s="8"/>
      <c r="I67" s="8" t="s">
        <v>115</v>
      </c>
      <c r="J67" s="248" t="s">
        <v>224</v>
      </c>
      <c r="K67" s="8"/>
      <c r="L67" s="8"/>
      <c r="M67" s="8"/>
      <c r="N67" s="8"/>
      <c r="O67" s="8"/>
      <c r="P67" s="8"/>
      <c r="Q67" s="8" t="s">
        <v>115</v>
      </c>
      <c r="R67" s="248" t="s">
        <v>225</v>
      </c>
      <c r="S67" s="8"/>
      <c r="T67" s="8"/>
      <c r="U67" s="8"/>
      <c r="V67" s="8"/>
      <c r="W67" s="8"/>
      <c r="X67" s="8"/>
      <c r="Y67" s="249"/>
      <c r="Z67" s="250"/>
    </row>
    <row r="68" spans="2:26" ht="15.75" x14ac:dyDescent="0.25">
      <c r="B68" s="248" t="s">
        <v>226</v>
      </c>
      <c r="C68" s="8"/>
      <c r="D68" s="8"/>
      <c r="E68" s="8"/>
      <c r="F68" s="8"/>
      <c r="G68" s="8"/>
      <c r="H68" s="8"/>
      <c r="I68" s="8" t="s">
        <v>115</v>
      </c>
      <c r="J68" s="252" t="s">
        <v>227</v>
      </c>
      <c r="K68" s="8"/>
      <c r="L68" s="8"/>
      <c r="M68" s="8"/>
      <c r="N68" s="8"/>
      <c r="O68" s="8"/>
      <c r="P68" s="8"/>
      <c r="Q68" s="8" t="s">
        <v>115</v>
      </c>
      <c r="R68" s="8"/>
      <c r="S68" s="8"/>
      <c r="T68" s="8"/>
      <c r="U68" s="8"/>
      <c r="V68" s="8"/>
      <c r="W68" s="8"/>
      <c r="X68" s="8"/>
      <c r="Y68" s="249"/>
      <c r="Z68" s="250"/>
    </row>
    <row r="69" spans="2:26" ht="15.75" x14ac:dyDescent="0.25">
      <c r="B69" s="251"/>
      <c r="C69" s="8"/>
      <c r="D69" s="8"/>
      <c r="E69" s="8"/>
      <c r="F69" s="8"/>
      <c r="G69" s="8"/>
      <c r="H69" s="8"/>
      <c r="I69" s="8" t="s">
        <v>115</v>
      </c>
      <c r="J69" s="248" t="s">
        <v>228</v>
      </c>
      <c r="K69" s="8"/>
      <c r="L69" s="8"/>
      <c r="M69" s="8"/>
      <c r="N69" s="8"/>
      <c r="O69" s="8"/>
      <c r="P69" s="8"/>
      <c r="Q69" s="8" t="s">
        <v>115</v>
      </c>
      <c r="R69" s="9" t="s">
        <v>229</v>
      </c>
      <c r="S69" s="8"/>
      <c r="T69" s="8"/>
      <c r="U69" s="8"/>
      <c r="V69" s="8"/>
      <c r="W69" s="8"/>
      <c r="X69" s="8"/>
      <c r="Y69" s="249"/>
      <c r="Z69" s="250"/>
    </row>
    <row r="70" spans="2:26" ht="15.75" x14ac:dyDescent="0.25">
      <c r="B70" s="9" t="s">
        <v>230</v>
      </c>
      <c r="C70" s="8"/>
      <c r="D70" s="8"/>
      <c r="E70" s="8"/>
      <c r="F70" s="8"/>
      <c r="G70" s="8"/>
      <c r="H70" s="8"/>
      <c r="I70" s="8" t="s">
        <v>115</v>
      </c>
      <c r="J70" s="252" t="s">
        <v>231</v>
      </c>
      <c r="K70" s="8"/>
      <c r="L70" s="8"/>
      <c r="M70" s="8"/>
      <c r="N70" s="8"/>
      <c r="O70" s="8"/>
      <c r="P70" s="8"/>
      <c r="Q70" s="8" t="s">
        <v>115</v>
      </c>
      <c r="R70" s="248" t="s">
        <v>232</v>
      </c>
      <c r="S70" s="8"/>
      <c r="T70" s="8"/>
      <c r="U70" s="8"/>
      <c r="V70" s="8"/>
      <c r="W70" s="8"/>
      <c r="X70" s="8"/>
      <c r="Y70" s="249"/>
      <c r="Z70" s="250"/>
    </row>
    <row r="71" spans="2:26" ht="15.75" x14ac:dyDescent="0.25">
      <c r="B71" s="248" t="s">
        <v>233</v>
      </c>
      <c r="C71" s="8"/>
      <c r="D71" s="8"/>
      <c r="E71" s="8"/>
      <c r="F71" s="8"/>
      <c r="G71" s="8"/>
      <c r="H71" s="8"/>
      <c r="I71" s="8" t="s">
        <v>115</v>
      </c>
      <c r="J71" s="248" t="s">
        <v>234</v>
      </c>
      <c r="K71" s="8"/>
      <c r="L71" s="8"/>
      <c r="M71" s="8"/>
      <c r="N71" s="8"/>
      <c r="O71" s="8"/>
      <c r="P71" s="8"/>
      <c r="Q71" s="8" t="s">
        <v>115</v>
      </c>
      <c r="R71" s="252" t="s">
        <v>235</v>
      </c>
      <c r="S71" s="8"/>
      <c r="T71" s="8"/>
      <c r="U71" s="8"/>
      <c r="V71" s="8"/>
      <c r="W71" s="8"/>
      <c r="X71" s="8"/>
      <c r="Y71" s="249"/>
      <c r="Z71" s="250"/>
    </row>
    <row r="72" spans="2:26" ht="15.75" x14ac:dyDescent="0.25">
      <c r="B72" s="252" t="s">
        <v>236</v>
      </c>
      <c r="C72" s="8"/>
      <c r="D72" s="8"/>
      <c r="E72" s="8"/>
      <c r="F72" s="8"/>
      <c r="G72" s="8"/>
      <c r="H72" s="8"/>
      <c r="I72" s="8" t="s">
        <v>115</v>
      </c>
      <c r="J72" s="252" t="s">
        <v>132</v>
      </c>
      <c r="K72" s="8"/>
      <c r="L72" s="8"/>
      <c r="M72" s="8"/>
      <c r="N72" s="8"/>
      <c r="O72" s="8"/>
      <c r="P72" s="8"/>
      <c r="Q72" s="8" t="s">
        <v>115</v>
      </c>
      <c r="R72" s="248" t="s">
        <v>237</v>
      </c>
      <c r="S72" s="8"/>
      <c r="T72" s="8"/>
      <c r="U72" s="8"/>
      <c r="V72" s="8"/>
      <c r="W72" s="8"/>
      <c r="X72" s="8"/>
      <c r="Y72" s="249"/>
      <c r="Z72" s="250"/>
    </row>
    <row r="73" spans="2:26" ht="15.75" x14ac:dyDescent="0.25">
      <c r="B73" s="248" t="s">
        <v>238</v>
      </c>
      <c r="C73" s="8"/>
      <c r="D73" s="8"/>
      <c r="E73" s="8"/>
      <c r="F73" s="8"/>
      <c r="G73" s="8"/>
      <c r="H73" s="8"/>
      <c r="I73" s="8" t="s">
        <v>115</v>
      </c>
      <c r="J73" s="248" t="s">
        <v>239</v>
      </c>
      <c r="K73" s="8"/>
      <c r="L73" s="8"/>
      <c r="M73" s="8"/>
      <c r="N73" s="8"/>
      <c r="O73" s="8"/>
      <c r="P73" s="8"/>
      <c r="Q73" s="8" t="s">
        <v>115</v>
      </c>
      <c r="R73" s="252" t="s">
        <v>240</v>
      </c>
      <c r="S73" s="8"/>
      <c r="T73" s="8"/>
      <c r="U73" s="8"/>
      <c r="V73" s="8"/>
      <c r="W73" s="8"/>
      <c r="X73" s="8"/>
      <c r="Y73" s="249"/>
      <c r="Z73" s="250"/>
    </row>
    <row r="74" spans="2:26" ht="15.75" x14ac:dyDescent="0.25">
      <c r="B74" s="252" t="s">
        <v>241</v>
      </c>
      <c r="C74" s="8"/>
      <c r="D74" s="8"/>
      <c r="E74" s="8"/>
      <c r="F74" s="8"/>
      <c r="G74" s="8"/>
      <c r="H74" s="8"/>
      <c r="I74" s="8" t="s">
        <v>115</v>
      </c>
      <c r="J74" s="252" t="s">
        <v>242</v>
      </c>
      <c r="K74" s="8"/>
      <c r="L74" s="8"/>
      <c r="M74" s="8"/>
      <c r="N74" s="8"/>
      <c r="O74" s="8"/>
      <c r="P74" s="8"/>
      <c r="Q74" s="8" t="s">
        <v>115</v>
      </c>
      <c r="R74" s="248" t="s">
        <v>243</v>
      </c>
      <c r="S74" s="8"/>
      <c r="T74" s="8"/>
      <c r="U74" s="8"/>
      <c r="V74" s="8"/>
      <c r="W74" s="8"/>
      <c r="X74" s="8"/>
      <c r="Y74" s="249"/>
      <c r="Z74" s="250"/>
    </row>
    <row r="75" spans="2:26" ht="15.75" x14ac:dyDescent="0.25">
      <c r="B75" s="248" t="s">
        <v>244</v>
      </c>
      <c r="C75" s="8"/>
      <c r="D75" s="8"/>
      <c r="E75" s="8"/>
      <c r="F75" s="8"/>
      <c r="G75" s="8"/>
      <c r="H75" s="8"/>
      <c r="I75" s="8" t="s">
        <v>115</v>
      </c>
      <c r="J75" s="248" t="s">
        <v>245</v>
      </c>
      <c r="K75" s="8"/>
      <c r="L75" s="8"/>
      <c r="M75" s="8"/>
      <c r="N75" s="8"/>
      <c r="O75" s="8"/>
      <c r="P75" s="8"/>
      <c r="Q75" s="8" t="s">
        <v>115</v>
      </c>
      <c r="R75" s="252" t="s">
        <v>151</v>
      </c>
      <c r="S75" s="8"/>
      <c r="T75" s="8"/>
      <c r="U75" s="8"/>
      <c r="V75" s="8"/>
      <c r="W75" s="8"/>
      <c r="X75" s="8"/>
      <c r="Y75" s="249"/>
      <c r="Z75" s="250"/>
    </row>
    <row r="76" spans="2:26" ht="15.75" x14ac:dyDescent="0.25">
      <c r="B76" s="252" t="s">
        <v>246</v>
      </c>
      <c r="C76" s="8"/>
      <c r="D76" s="8"/>
      <c r="E76" s="8"/>
      <c r="F76" s="8"/>
      <c r="G76" s="8"/>
      <c r="H76" s="8"/>
      <c r="I76" s="8" t="s">
        <v>115</v>
      </c>
      <c r="J76" s="252" t="s">
        <v>247</v>
      </c>
      <c r="K76" s="8"/>
      <c r="L76" s="8"/>
      <c r="M76" s="8"/>
      <c r="N76" s="8"/>
      <c r="O76" s="8"/>
      <c r="P76" s="8"/>
      <c r="Q76" s="8" t="s">
        <v>115</v>
      </c>
      <c r="R76" s="8"/>
      <c r="S76" s="8"/>
      <c r="T76" s="8"/>
      <c r="U76" s="8"/>
      <c r="V76" s="8"/>
      <c r="W76" s="8"/>
      <c r="X76" s="8"/>
      <c r="Y76" s="249"/>
      <c r="Z76" s="250"/>
    </row>
    <row r="77" spans="2:26" ht="15.75" x14ac:dyDescent="0.25">
      <c r="B77" s="248" t="s">
        <v>248</v>
      </c>
      <c r="C77" s="8"/>
      <c r="D77" s="8"/>
      <c r="E77" s="8"/>
      <c r="F77" s="8"/>
      <c r="G77" s="8"/>
      <c r="H77" s="8"/>
      <c r="I77" s="8" t="s">
        <v>115</v>
      </c>
      <c r="J77" s="248" t="s">
        <v>249</v>
      </c>
      <c r="K77" s="8"/>
      <c r="L77" s="8"/>
      <c r="M77" s="8"/>
      <c r="N77" s="8"/>
      <c r="O77" s="8"/>
      <c r="P77" s="8"/>
      <c r="Q77" s="8" t="s">
        <v>115</v>
      </c>
      <c r="R77" s="8"/>
      <c r="S77" s="8"/>
      <c r="T77" s="8"/>
      <c r="U77" s="8"/>
      <c r="V77" s="8"/>
      <c r="W77" s="8"/>
      <c r="X77" s="8"/>
      <c r="Y77" s="249"/>
      <c r="Z77" s="250"/>
    </row>
    <row r="78" spans="2:26" ht="15.75" x14ac:dyDescent="0.25">
      <c r="B78" s="252" t="s">
        <v>250</v>
      </c>
      <c r="C78" s="8"/>
      <c r="D78" s="8"/>
      <c r="E78" s="8"/>
      <c r="F78" s="8"/>
      <c r="G78" s="8"/>
      <c r="H78" s="8"/>
      <c r="I78" s="8" t="s">
        <v>115</v>
      </c>
      <c r="J78" s="252" t="s">
        <v>251</v>
      </c>
      <c r="K78" s="8"/>
      <c r="L78" s="8"/>
      <c r="M78" s="8"/>
      <c r="N78" s="8"/>
      <c r="O78" s="8"/>
      <c r="P78" s="8"/>
      <c r="Q78" s="8" t="s">
        <v>115</v>
      </c>
      <c r="R78" s="251"/>
      <c r="S78" s="8"/>
      <c r="T78" s="8"/>
      <c r="U78" s="8"/>
      <c r="V78" s="8"/>
      <c r="W78" s="8"/>
      <c r="X78" s="8"/>
      <c r="Y78" s="249"/>
      <c r="Z78" s="250"/>
    </row>
    <row r="79" spans="2:26" ht="15.75" x14ac:dyDescent="0.25">
      <c r="B79" s="248" t="s">
        <v>252</v>
      </c>
      <c r="C79" s="8"/>
      <c r="D79" s="8"/>
      <c r="E79" s="8"/>
      <c r="F79" s="8"/>
      <c r="G79" s="8"/>
      <c r="H79" s="8"/>
      <c r="I79" s="8" t="s">
        <v>115</v>
      </c>
      <c r="J79" s="8"/>
      <c r="K79" s="8"/>
      <c r="L79" s="8"/>
      <c r="M79" s="8"/>
      <c r="N79" s="8"/>
      <c r="O79" s="8"/>
      <c r="P79" s="8"/>
      <c r="Q79" s="8" t="s">
        <v>115</v>
      </c>
      <c r="R79" s="8"/>
      <c r="S79" s="8"/>
      <c r="T79" s="8"/>
      <c r="U79" s="8"/>
      <c r="V79" s="8"/>
      <c r="W79" s="8"/>
      <c r="X79" s="8"/>
      <c r="Y79" s="249"/>
      <c r="Z79" s="250"/>
    </row>
    <row r="80" spans="2:26" ht="15.75" x14ac:dyDescent="0.25">
      <c r="B80" s="252" t="s">
        <v>253</v>
      </c>
      <c r="C80" s="8"/>
      <c r="D80" s="8"/>
      <c r="E80" s="8"/>
      <c r="F80" s="8"/>
      <c r="G80" s="8"/>
      <c r="H80" s="8"/>
      <c r="I80" s="8" t="s">
        <v>115</v>
      </c>
      <c r="J80" s="8"/>
      <c r="K80" s="8"/>
      <c r="L80" s="8"/>
      <c r="M80" s="8"/>
      <c r="N80" s="8"/>
      <c r="O80" s="8"/>
      <c r="P80" s="8"/>
      <c r="Q80" s="8" t="s">
        <v>115</v>
      </c>
      <c r="R80" s="8"/>
      <c r="S80" s="8"/>
      <c r="T80" s="8"/>
      <c r="U80" s="8"/>
      <c r="V80" s="8"/>
      <c r="W80" s="8"/>
      <c r="X80" s="8"/>
      <c r="Y80" s="249"/>
      <c r="Z80" s="250"/>
    </row>
    <row r="81" spans="2:26" ht="15.75" x14ac:dyDescent="0.25">
      <c r="B81" s="248" t="s">
        <v>254</v>
      </c>
      <c r="C81" s="8"/>
      <c r="D81" s="8"/>
      <c r="E81" s="8"/>
      <c r="F81" s="8"/>
      <c r="G81" s="8"/>
      <c r="H81" s="8"/>
      <c r="I81" s="8" t="s">
        <v>115</v>
      </c>
      <c r="J81" s="8"/>
      <c r="K81" s="8"/>
      <c r="L81" s="8"/>
      <c r="M81" s="8"/>
      <c r="N81" s="8"/>
      <c r="O81" s="8"/>
      <c r="P81" s="8"/>
      <c r="Q81" s="8" t="s">
        <v>115</v>
      </c>
      <c r="R81" s="8"/>
      <c r="S81" s="8"/>
      <c r="T81" s="8"/>
      <c r="U81" s="8"/>
      <c r="V81" s="8"/>
      <c r="W81" s="8"/>
      <c r="X81" s="8"/>
      <c r="Y81" s="249"/>
      <c r="Z81" s="250"/>
    </row>
    <row r="82" spans="2:26" x14ac:dyDescent="0.25">
      <c r="B82" s="251" t="s">
        <v>115</v>
      </c>
      <c r="C82" s="8"/>
      <c r="D82" s="8"/>
      <c r="E82" s="8"/>
      <c r="F82" s="8"/>
      <c r="G82" s="8"/>
      <c r="H82" s="8"/>
      <c r="I82" s="8" t="s">
        <v>115</v>
      </c>
      <c r="J82" s="8"/>
      <c r="K82" s="8"/>
      <c r="L82" s="8"/>
      <c r="M82" s="8"/>
      <c r="N82" s="8"/>
      <c r="O82" s="8"/>
      <c r="P82" s="8"/>
      <c r="Q82" s="8" t="s">
        <v>115</v>
      </c>
      <c r="R82" s="8"/>
      <c r="S82" s="8"/>
      <c r="T82" s="8"/>
      <c r="U82" s="8"/>
      <c r="V82" s="8"/>
      <c r="W82" s="8"/>
      <c r="X82" s="8"/>
      <c r="Y82" s="249"/>
      <c r="Z82" s="250"/>
    </row>
    <row r="83" spans="2:26" x14ac:dyDescent="0.25">
      <c r="B83" s="8"/>
      <c r="C83" s="8"/>
      <c r="D83" s="8"/>
      <c r="E83" s="8"/>
      <c r="F83" s="8"/>
      <c r="G83" s="8"/>
      <c r="H83" s="8"/>
      <c r="I83" s="8" t="s">
        <v>115</v>
      </c>
      <c r="J83" s="8"/>
      <c r="K83" s="8"/>
      <c r="L83" s="8"/>
      <c r="M83" s="8"/>
      <c r="N83" s="8"/>
      <c r="O83" s="8"/>
      <c r="P83" s="8"/>
      <c r="Q83" s="8" t="s">
        <v>115</v>
      </c>
      <c r="R83" s="8"/>
      <c r="S83" s="8"/>
      <c r="T83" s="8"/>
      <c r="U83" s="8"/>
      <c r="V83" s="8"/>
      <c r="W83" s="8"/>
      <c r="X83" s="8"/>
      <c r="Y83" s="249"/>
      <c r="Z83" s="250"/>
    </row>
    <row r="84" spans="2:26" x14ac:dyDescent="0.25">
      <c r="I84" s="4" t="s">
        <v>115</v>
      </c>
      <c r="Q84" s="4" t="s">
        <v>115</v>
      </c>
    </row>
    <row r="85" spans="2:26" x14ac:dyDescent="0.25">
      <c r="I85" s="4" t="s">
        <v>115</v>
      </c>
      <c r="Q85" s="4" t="s">
        <v>115</v>
      </c>
    </row>
    <row r="86" spans="2:26" x14ac:dyDescent="0.25">
      <c r="I86" s="4" t="s">
        <v>115</v>
      </c>
      <c r="Q86" s="4" t="s">
        <v>115</v>
      </c>
    </row>
    <row r="87" spans="2:26" x14ac:dyDescent="0.25">
      <c r="I87" s="4" t="s">
        <v>115</v>
      </c>
      <c r="Q87" s="4" t="s">
        <v>115</v>
      </c>
    </row>
    <row r="88" spans="2:26" x14ac:dyDescent="0.25">
      <c r="I88" s="4" t="s">
        <v>115</v>
      </c>
      <c r="Q88" s="4" t="s">
        <v>115</v>
      </c>
    </row>
    <row r="89" spans="2:26" x14ac:dyDescent="0.25">
      <c r="I89" s="4" t="s">
        <v>115</v>
      </c>
      <c r="Q89" s="4" t="s">
        <v>115</v>
      </c>
    </row>
    <row r="90" spans="2:26" x14ac:dyDescent="0.25">
      <c r="I90" s="4" t="s">
        <v>115</v>
      </c>
      <c r="Q90" s="4" t="s">
        <v>115</v>
      </c>
    </row>
    <row r="91" spans="2:26" x14ac:dyDescent="0.25">
      <c r="I91" s="4" t="s">
        <v>115</v>
      </c>
      <c r="Q91" s="4" t="s">
        <v>115</v>
      </c>
      <c r="R91" s="2"/>
    </row>
    <row r="92" spans="2:26" x14ac:dyDescent="0.25">
      <c r="I92" s="4" t="s">
        <v>115</v>
      </c>
      <c r="Q92" s="4" t="s">
        <v>115</v>
      </c>
    </row>
    <row r="93" spans="2:26" x14ac:dyDescent="0.25">
      <c r="I93" s="4" t="s">
        <v>115</v>
      </c>
      <c r="Q93" s="4" t="s">
        <v>115</v>
      </c>
    </row>
    <row r="94" spans="2:26" x14ac:dyDescent="0.25">
      <c r="I94" s="4" t="s">
        <v>115</v>
      </c>
      <c r="Q94" s="4" t="s">
        <v>115</v>
      </c>
    </row>
    <row r="95" spans="2:26" x14ac:dyDescent="0.25">
      <c r="I95" s="4" t="s">
        <v>115</v>
      </c>
      <c r="Q95" s="4" t="s">
        <v>115</v>
      </c>
    </row>
    <row r="96" spans="2:26" x14ac:dyDescent="0.25">
      <c r="I96" s="4" t="s">
        <v>115</v>
      </c>
      <c r="Q96" s="4" t="s">
        <v>115</v>
      </c>
    </row>
    <row r="97" spans="9:17" x14ac:dyDescent="0.25">
      <c r="I97" s="4" t="s">
        <v>115</v>
      </c>
      <c r="Q97" s="4" t="s">
        <v>115</v>
      </c>
    </row>
    <row r="98" spans="9:17" x14ac:dyDescent="0.25">
      <c r="I98" s="4" t="s">
        <v>115</v>
      </c>
      <c r="Q98" s="4" t="s">
        <v>115</v>
      </c>
    </row>
    <row r="99" spans="9:17" x14ac:dyDescent="0.25">
      <c r="I99" s="4" t="s">
        <v>115</v>
      </c>
      <c r="Q99" s="4" t="s">
        <v>115</v>
      </c>
    </row>
    <row r="100" spans="9:17" x14ac:dyDescent="0.25">
      <c r="I100" s="4" t="s">
        <v>115</v>
      </c>
      <c r="Q100" s="4" t="s">
        <v>115</v>
      </c>
    </row>
    <row r="101" spans="9:17" x14ac:dyDescent="0.25">
      <c r="I101" s="4" t="s">
        <v>115</v>
      </c>
      <c r="Q101" s="4" t="s">
        <v>115</v>
      </c>
    </row>
    <row r="102" spans="9:17" x14ac:dyDescent="0.25">
      <c r="I102" s="4" t="s">
        <v>115</v>
      </c>
      <c r="Q102" s="4" t="s">
        <v>115</v>
      </c>
    </row>
    <row r="103" spans="9:17" x14ac:dyDescent="0.25">
      <c r="I103" s="4" t="s">
        <v>115</v>
      </c>
      <c r="Q103" s="4" t="s">
        <v>115</v>
      </c>
    </row>
    <row r="104" spans="9:17" x14ac:dyDescent="0.25">
      <c r="I104" s="4" t="s">
        <v>115</v>
      </c>
      <c r="Q104" s="4" t="s">
        <v>115</v>
      </c>
    </row>
    <row r="105" spans="9:17" x14ac:dyDescent="0.25">
      <c r="Q105" s="4" t="s">
        <v>115</v>
      </c>
    </row>
    <row r="106" spans="9:17" x14ac:dyDescent="0.25">
      <c r="Q106" s="4" t="s">
        <v>115</v>
      </c>
    </row>
    <row r="107" spans="9:17" x14ac:dyDescent="0.25">
      <c r="Q107" s="4" t="s">
        <v>115</v>
      </c>
    </row>
    <row r="108" spans="9:17" x14ac:dyDescent="0.25">
      <c r="Q108" s="4" t="s">
        <v>115</v>
      </c>
    </row>
    <row r="109" spans="9:17" x14ac:dyDescent="0.25">
      <c r="Q109" s="4" t="s">
        <v>115</v>
      </c>
    </row>
    <row r="110" spans="9:17" x14ac:dyDescent="0.25">
      <c r="Q110" s="4" t="s">
        <v>115</v>
      </c>
    </row>
    <row r="111" spans="9:17" x14ac:dyDescent="0.25">
      <c r="Q111" s="4" t="s">
        <v>115</v>
      </c>
    </row>
    <row r="112" spans="9:17" x14ac:dyDescent="0.25">
      <c r="Q112" s="4" t="s">
        <v>115</v>
      </c>
    </row>
    <row r="113" spans="17:17" x14ac:dyDescent="0.25">
      <c r="Q113" s="4" t="s">
        <v>115</v>
      </c>
    </row>
    <row r="114" spans="17:17" x14ac:dyDescent="0.25">
      <c r="Q114" s="4" t="s">
        <v>115</v>
      </c>
    </row>
    <row r="115" spans="17:17" x14ac:dyDescent="0.25">
      <c r="Q115" s="4" t="s">
        <v>115</v>
      </c>
    </row>
    <row r="116" spans="17:17" x14ac:dyDescent="0.25">
      <c r="Q116" s="4" t="s">
        <v>115</v>
      </c>
    </row>
    <row r="117" spans="17:17" x14ac:dyDescent="0.25">
      <c r="Q117" s="4" t="s">
        <v>115</v>
      </c>
    </row>
    <row r="118" spans="17:17" x14ac:dyDescent="0.25">
      <c r="Q118" s="4" t="s">
        <v>115</v>
      </c>
    </row>
    <row r="119" spans="17:17" x14ac:dyDescent="0.25">
      <c r="Q119" s="4" t="s">
        <v>115</v>
      </c>
    </row>
    <row r="120" spans="17:17" x14ac:dyDescent="0.25">
      <c r="Q120" s="4" t="s">
        <v>115</v>
      </c>
    </row>
    <row r="121" spans="17:17" x14ac:dyDescent="0.25">
      <c r="Q121" s="4" t="s">
        <v>115</v>
      </c>
    </row>
    <row r="122" spans="17:17" x14ac:dyDescent="0.25">
      <c r="Q122" s="4" t="s">
        <v>115</v>
      </c>
    </row>
    <row r="123" spans="17:17" x14ac:dyDescent="0.25">
      <c r="Q123" s="4" t="s">
        <v>115</v>
      </c>
    </row>
    <row r="124" spans="17:17" x14ac:dyDescent="0.25">
      <c r="Q124" s="4" t="s">
        <v>115</v>
      </c>
    </row>
    <row r="125" spans="17:17" x14ac:dyDescent="0.25">
      <c r="Q125" s="4" t="s">
        <v>115</v>
      </c>
    </row>
    <row r="126" spans="17:17" x14ac:dyDescent="0.25">
      <c r="Q126" s="4" t="s">
        <v>115</v>
      </c>
    </row>
    <row r="127" spans="17:17" x14ac:dyDescent="0.25">
      <c r="Q127" s="4" t="s">
        <v>115</v>
      </c>
    </row>
    <row r="128" spans="17:17" x14ac:dyDescent="0.25">
      <c r="Q128" s="4" t="s">
        <v>115</v>
      </c>
    </row>
    <row r="129" spans="17:17" x14ac:dyDescent="0.25">
      <c r="Q129" s="4" t="s">
        <v>115</v>
      </c>
    </row>
  </sheetData>
  <mergeCells count="50">
    <mergeCell ref="R22:S24"/>
    <mergeCell ref="T22:X24"/>
    <mergeCell ref="R9:S12"/>
    <mergeCell ref="T9:X12"/>
    <mergeCell ref="J3:K5"/>
    <mergeCell ref="L3:P5"/>
    <mergeCell ref="L11:P13"/>
    <mergeCell ref="J6:K7"/>
    <mergeCell ref="D3:H4"/>
    <mergeCell ref="D5:H8"/>
    <mergeCell ref="T6:X8"/>
    <mergeCell ref="L8:P10"/>
    <mergeCell ref="B20:C21"/>
    <mergeCell ref="D20:H21"/>
    <mergeCell ref="B14:C16"/>
    <mergeCell ref="D14:H16"/>
    <mergeCell ref="B5:C8"/>
    <mergeCell ref="T19:X21"/>
    <mergeCell ref="B22:C24"/>
    <mergeCell ref="D22:H24"/>
    <mergeCell ref="R3:S5"/>
    <mergeCell ref="J8:K10"/>
    <mergeCell ref="R19:S21"/>
    <mergeCell ref="J20:K21"/>
    <mergeCell ref="L20:P21"/>
    <mergeCell ref="B17:C19"/>
    <mergeCell ref="D17:H19"/>
    <mergeCell ref="B11:C13"/>
    <mergeCell ref="D11:H13"/>
    <mergeCell ref="J17:K19"/>
    <mergeCell ref="L17:P19"/>
    <mergeCell ref="L6:P7"/>
    <mergeCell ref="J22:K24"/>
    <mergeCell ref="L22:P24"/>
    <mergeCell ref="A1:A8"/>
    <mergeCell ref="Z9:Z18"/>
    <mergeCell ref="R16:S18"/>
    <mergeCell ref="Z1:Z2"/>
    <mergeCell ref="B3:C4"/>
    <mergeCell ref="T3:X5"/>
    <mergeCell ref="B1:X2"/>
    <mergeCell ref="J14:K16"/>
    <mergeCell ref="L14:P16"/>
    <mergeCell ref="J11:K13"/>
    <mergeCell ref="B9:C10"/>
    <mergeCell ref="D9:H10"/>
    <mergeCell ref="T16:X18"/>
    <mergeCell ref="R13:S15"/>
    <mergeCell ref="T13:X15"/>
    <mergeCell ref="R6:S8"/>
  </mergeCells>
  <hyperlinks>
    <hyperlink ref="A1:A3" location="'__ANA SAYFA'!A1" display="ANA SAYFA" xr:uid="{00000000-0004-0000-0700-000000000000}"/>
  </hyperlinks>
  <pageMargins left="0.7" right="0.7" top="0.75" bottom="0.75" header="0.3" footer="0.3"/>
  <pageSetup paperSize="9" scale="9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V20"/>
  <sheetViews>
    <sheetView zoomScale="85" zoomScaleNormal="85" workbookViewId="0">
      <selection activeCell="L11" sqref="L11:L12"/>
    </sheetView>
  </sheetViews>
  <sheetFormatPr defaultRowHeight="15" x14ac:dyDescent="0.25"/>
  <cols>
    <col min="1" max="1" width="6.28515625" customWidth="1"/>
    <col min="2" max="2" width="6.7109375" customWidth="1"/>
    <col min="3" max="3" width="35.5703125" customWidth="1"/>
    <col min="4" max="4" width="14.42578125" customWidth="1"/>
    <col min="5" max="5" width="1.7109375" customWidth="1"/>
    <col min="6" max="10" width="9.7109375" customWidth="1"/>
    <col min="11" max="12" width="9.28515625" customWidth="1"/>
    <col min="13" max="21" width="9.7109375" customWidth="1"/>
  </cols>
  <sheetData>
    <row r="1" spans="1:22" ht="26.1" customHeight="1" thickBot="1" x14ac:dyDescent="0.3">
      <c r="A1" s="634" t="s">
        <v>96</v>
      </c>
      <c r="B1" s="374" t="s">
        <v>0</v>
      </c>
      <c r="C1" s="579" t="s">
        <v>478</v>
      </c>
      <c r="D1" s="373" t="s">
        <v>453</v>
      </c>
      <c r="E1" s="73"/>
      <c r="F1" s="942" t="s">
        <v>720</v>
      </c>
      <c r="G1" s="943"/>
      <c r="H1" s="943"/>
      <c r="I1" s="943"/>
      <c r="J1" s="944"/>
      <c r="K1" s="938" t="s">
        <v>452</v>
      </c>
      <c r="L1" s="936">
        <f>COUNTIF(C2:C11,"Pİ"&amp;"*")</f>
        <v>8</v>
      </c>
      <c r="M1" s="916" t="str">
        <f ca="1">_xlfn.FORMULATEXT(L1)</f>
        <v>=COUNTIF(C2:C11;"Pİ"&amp;"*")</v>
      </c>
      <c r="N1" s="917"/>
      <c r="O1" s="917"/>
      <c r="P1" s="917"/>
      <c r="Q1" s="917"/>
      <c r="R1" s="917"/>
      <c r="S1" s="917"/>
      <c r="T1" s="917"/>
      <c r="U1" s="918"/>
    </row>
    <row r="2" spans="1:22" ht="26.1" customHeight="1" thickTop="1" x14ac:dyDescent="0.25">
      <c r="A2" s="743"/>
      <c r="B2" s="582">
        <v>1</v>
      </c>
      <c r="C2" s="622" t="s">
        <v>714</v>
      </c>
      <c r="D2" s="583">
        <v>10</v>
      </c>
      <c r="E2" s="73"/>
      <c r="F2" s="945"/>
      <c r="G2" s="946"/>
      <c r="H2" s="946"/>
      <c r="I2" s="946"/>
      <c r="J2" s="947"/>
      <c r="K2" s="939"/>
      <c r="L2" s="937"/>
      <c r="M2" s="919"/>
      <c r="N2" s="920"/>
      <c r="O2" s="920"/>
      <c r="P2" s="920"/>
      <c r="Q2" s="920"/>
      <c r="R2" s="920"/>
      <c r="S2" s="920"/>
      <c r="T2" s="920"/>
      <c r="U2" s="921"/>
    </row>
    <row r="3" spans="1:22" ht="26.1" customHeight="1" x14ac:dyDescent="0.25">
      <c r="A3" s="743"/>
      <c r="B3" s="584">
        <v>2</v>
      </c>
      <c r="C3" s="623" t="s">
        <v>715</v>
      </c>
      <c r="D3" s="585">
        <v>10</v>
      </c>
      <c r="E3" s="73"/>
      <c r="F3" s="948" t="s">
        <v>721</v>
      </c>
      <c r="G3" s="949"/>
      <c r="H3" s="949"/>
      <c r="I3" s="949"/>
      <c r="J3" s="950"/>
      <c r="K3" s="934" t="s">
        <v>452</v>
      </c>
      <c r="L3" s="936">
        <f>COUNTIF(C2:C11,"*"&amp;"E")</f>
        <v>4</v>
      </c>
      <c r="M3" s="910" t="str">
        <f ca="1">_xlfn.FORMULATEXT(L3)</f>
        <v>=COUNTIF(C2:C11;"*"&amp;"E")</v>
      </c>
      <c r="N3" s="911"/>
      <c r="O3" s="911"/>
      <c r="P3" s="911"/>
      <c r="Q3" s="911"/>
      <c r="R3" s="911"/>
      <c r="S3" s="911"/>
      <c r="T3" s="911"/>
      <c r="U3" s="912"/>
    </row>
    <row r="4" spans="1:22" ht="26.1" customHeight="1" x14ac:dyDescent="0.25">
      <c r="A4" s="743"/>
      <c r="B4" s="584">
        <v>3</v>
      </c>
      <c r="C4" s="623" t="s">
        <v>600</v>
      </c>
      <c r="D4" s="585">
        <v>20</v>
      </c>
      <c r="E4" s="73"/>
      <c r="F4" s="951"/>
      <c r="G4" s="952"/>
      <c r="H4" s="952"/>
      <c r="I4" s="952"/>
      <c r="J4" s="953"/>
      <c r="K4" s="935"/>
      <c r="L4" s="937"/>
      <c r="M4" s="913"/>
      <c r="N4" s="914"/>
      <c r="O4" s="914"/>
      <c r="P4" s="914"/>
      <c r="Q4" s="914"/>
      <c r="R4" s="914"/>
      <c r="S4" s="914"/>
      <c r="T4" s="914"/>
      <c r="U4" s="915"/>
    </row>
    <row r="5" spans="1:22" ht="26.1" customHeight="1" x14ac:dyDescent="0.25">
      <c r="A5" s="743"/>
      <c r="B5" s="584">
        <v>4</v>
      </c>
      <c r="C5" s="623" t="s">
        <v>719</v>
      </c>
      <c r="D5" s="585">
        <v>20</v>
      </c>
      <c r="E5" s="73"/>
      <c r="F5" s="928" t="s">
        <v>722</v>
      </c>
      <c r="G5" s="929"/>
      <c r="H5" s="929"/>
      <c r="I5" s="929"/>
      <c r="J5" s="930"/>
      <c r="K5" s="938" t="s">
        <v>713</v>
      </c>
      <c r="L5" s="936">
        <f>COUNTIF(C2:C11,"*"&amp;V5&amp;"*")</f>
        <v>2</v>
      </c>
      <c r="M5" s="916" t="str">
        <f ca="1">_xlfn.FORMULATEXT(L5)</f>
        <v>=COUNTIF(C2:C11;"*"&amp;V5&amp;"*")</v>
      </c>
      <c r="N5" s="917"/>
      <c r="O5" s="917"/>
      <c r="P5" s="917"/>
      <c r="Q5" s="917"/>
      <c r="R5" s="917"/>
      <c r="S5" s="917"/>
      <c r="T5" s="917"/>
      <c r="U5" s="918"/>
      <c r="V5" s="936" t="s">
        <v>803</v>
      </c>
    </row>
    <row r="6" spans="1:22" ht="26.1" customHeight="1" x14ac:dyDescent="0.25">
      <c r="A6" s="743"/>
      <c r="B6" s="584">
        <v>5</v>
      </c>
      <c r="C6" s="623" t="s">
        <v>716</v>
      </c>
      <c r="D6" s="585">
        <v>30</v>
      </c>
      <c r="E6" s="73"/>
      <c r="F6" s="931"/>
      <c r="G6" s="932"/>
      <c r="H6" s="932"/>
      <c r="I6" s="932"/>
      <c r="J6" s="933"/>
      <c r="K6" s="939"/>
      <c r="L6" s="937"/>
      <c r="M6" s="919"/>
      <c r="N6" s="920"/>
      <c r="O6" s="920"/>
      <c r="P6" s="920"/>
      <c r="Q6" s="920"/>
      <c r="R6" s="920"/>
      <c r="S6" s="920"/>
      <c r="T6" s="920"/>
      <c r="U6" s="921"/>
      <c r="V6" s="937"/>
    </row>
    <row r="7" spans="1:22" ht="26.1" customHeight="1" x14ac:dyDescent="0.25">
      <c r="B7" s="584">
        <v>6</v>
      </c>
      <c r="C7" s="623" t="s">
        <v>717</v>
      </c>
      <c r="D7" s="585">
        <v>30</v>
      </c>
      <c r="E7" s="73"/>
      <c r="F7" s="922" t="s">
        <v>723</v>
      </c>
      <c r="G7" s="923"/>
      <c r="H7" s="923"/>
      <c r="I7" s="923"/>
      <c r="J7" s="924"/>
      <c r="K7" s="934" t="s">
        <v>455</v>
      </c>
      <c r="L7" s="940">
        <f>COUNTIF(C2:C11,"??"&amp;"L"&amp;"?")</f>
        <v>1</v>
      </c>
      <c r="M7" s="910" t="str">
        <f ca="1">_xlfn.FORMULATEXT(L7)</f>
        <v>=COUNTIF(C2:C11;"??"&amp;"L"&amp;"?")</v>
      </c>
      <c r="N7" s="911"/>
      <c r="O7" s="911"/>
      <c r="P7" s="911"/>
      <c r="Q7" s="911"/>
      <c r="R7" s="911"/>
      <c r="S7" s="911"/>
      <c r="T7" s="911"/>
      <c r="U7" s="912"/>
    </row>
    <row r="8" spans="1:22" ht="26.1" customHeight="1" x14ac:dyDescent="0.25">
      <c r="B8" s="584">
        <v>7</v>
      </c>
      <c r="C8" s="623" t="s">
        <v>474</v>
      </c>
      <c r="D8" s="625">
        <v>40</v>
      </c>
      <c r="E8" s="73"/>
      <c r="F8" s="925"/>
      <c r="G8" s="926"/>
      <c r="H8" s="926"/>
      <c r="I8" s="926"/>
      <c r="J8" s="927"/>
      <c r="K8" s="935"/>
      <c r="L8" s="941"/>
      <c r="M8" s="913"/>
      <c r="N8" s="914"/>
      <c r="O8" s="914"/>
      <c r="P8" s="914"/>
      <c r="Q8" s="914"/>
      <c r="R8" s="914"/>
      <c r="S8" s="914"/>
      <c r="T8" s="914"/>
      <c r="U8" s="915"/>
    </row>
    <row r="9" spans="1:22" ht="26.1" customHeight="1" x14ac:dyDescent="0.25">
      <c r="B9" s="584">
        <v>8</v>
      </c>
      <c r="C9" s="623" t="s">
        <v>718</v>
      </c>
      <c r="D9" s="585">
        <v>35</v>
      </c>
      <c r="E9" s="73"/>
      <c r="F9" s="928" t="s">
        <v>724</v>
      </c>
      <c r="G9" s="929"/>
      <c r="H9" s="929"/>
      <c r="I9" s="929"/>
      <c r="J9" s="930"/>
      <c r="K9" s="316" t="s">
        <v>713</v>
      </c>
      <c r="L9" s="936">
        <f>COUNTIF(C2:C11,"&lt;&gt;"&amp;"*"&amp;"PİL"&amp;"*")</f>
        <v>7</v>
      </c>
      <c r="M9" s="916" t="str">
        <f ca="1">_xlfn.FORMULATEXT(L9)</f>
        <v>=COUNTIF(C2:C11;"&lt;&gt;"&amp;"*"&amp;"PİL"&amp;"*")</v>
      </c>
      <c r="N9" s="917"/>
      <c r="O9" s="917"/>
      <c r="P9" s="917"/>
      <c r="Q9" s="917"/>
      <c r="R9" s="917"/>
      <c r="S9" s="917"/>
      <c r="T9" s="917"/>
      <c r="U9" s="918"/>
    </row>
    <row r="10" spans="1:22" ht="26.1" customHeight="1" x14ac:dyDescent="0.25">
      <c r="B10" s="584">
        <v>9</v>
      </c>
      <c r="C10" s="623" t="s">
        <v>475</v>
      </c>
      <c r="D10" s="585">
        <v>50</v>
      </c>
      <c r="E10" s="73"/>
      <c r="F10" s="931"/>
      <c r="G10" s="932"/>
      <c r="H10" s="932"/>
      <c r="I10" s="932"/>
      <c r="J10" s="933"/>
      <c r="K10" s="317" t="s">
        <v>435</v>
      </c>
      <c r="L10" s="937"/>
      <c r="M10" s="919"/>
      <c r="N10" s="920"/>
      <c r="O10" s="920"/>
      <c r="P10" s="920"/>
      <c r="Q10" s="920"/>
      <c r="R10" s="920"/>
      <c r="S10" s="920"/>
      <c r="T10" s="920"/>
      <c r="U10" s="921"/>
    </row>
    <row r="11" spans="1:22" ht="26.1" customHeight="1" thickBot="1" x14ac:dyDescent="0.3">
      <c r="B11" s="586">
        <v>10</v>
      </c>
      <c r="C11" s="624" t="s">
        <v>476</v>
      </c>
      <c r="D11" s="587">
        <v>100</v>
      </c>
      <c r="E11" s="73"/>
      <c r="F11" s="922" t="s">
        <v>725</v>
      </c>
      <c r="G11" s="923"/>
      <c r="H11" s="923"/>
      <c r="I11" s="923"/>
      <c r="J11" s="924"/>
      <c r="K11" s="934" t="s">
        <v>439</v>
      </c>
      <c r="L11" s="936">
        <f>COUNTIF(D2:D11,"&lt;"&amp;35)</f>
        <v>6</v>
      </c>
      <c r="M11" s="910" t="str">
        <f ca="1">_xlfn.FORMULATEXT(L11)</f>
        <v>=COUNTIF(D2:D11;"&lt;"&amp;35)</v>
      </c>
      <c r="N11" s="911"/>
      <c r="O11" s="911"/>
      <c r="P11" s="911"/>
      <c r="Q11" s="911"/>
      <c r="R11" s="911"/>
      <c r="S11" s="911"/>
      <c r="T11" s="911"/>
      <c r="U11" s="912"/>
    </row>
    <row r="12" spans="1:22" ht="26.1" customHeight="1" thickTop="1" x14ac:dyDescent="0.25">
      <c r="B12" s="73"/>
      <c r="C12" s="580" t="s">
        <v>64</v>
      </c>
      <c r="D12" s="581">
        <f>SUM(D2:D11)</f>
        <v>345</v>
      </c>
      <c r="E12" s="73"/>
      <c r="F12" s="925"/>
      <c r="G12" s="926"/>
      <c r="H12" s="926"/>
      <c r="I12" s="926"/>
      <c r="J12" s="927"/>
      <c r="K12" s="935"/>
      <c r="L12" s="937"/>
      <c r="M12" s="913"/>
      <c r="N12" s="914"/>
      <c r="O12" s="914"/>
      <c r="P12" s="914"/>
      <c r="Q12" s="914"/>
      <c r="R12" s="914"/>
      <c r="S12" s="914"/>
      <c r="T12" s="914"/>
      <c r="U12" s="915"/>
    </row>
    <row r="13" spans="1:22" ht="26.1" customHeight="1" x14ac:dyDescent="0.25">
      <c r="B13" s="2"/>
      <c r="C13" s="2"/>
      <c r="D13" s="2"/>
      <c r="E13" s="2"/>
      <c r="F13" s="928" t="s">
        <v>726</v>
      </c>
      <c r="G13" s="929"/>
      <c r="H13" s="929"/>
      <c r="I13" s="929"/>
      <c r="J13" s="930"/>
      <c r="K13" s="316" t="s">
        <v>452</v>
      </c>
      <c r="L13" s="936">
        <f>COUNTIFS(C2:C11,"Pİ"&amp;"*",D2:D11,"&gt;="&amp;30)</f>
        <v>4</v>
      </c>
      <c r="M13" s="916" t="str">
        <f ca="1">_xlfn.FORMULATEXT(L13)</f>
        <v>=COUNTIFS(C2:C11;"Pİ"&amp;"*";D2:D11;"&gt;="&amp;30)</v>
      </c>
      <c r="N13" s="917"/>
      <c r="O13" s="917"/>
      <c r="P13" s="917"/>
      <c r="Q13" s="917"/>
      <c r="R13" s="917"/>
      <c r="S13" s="917"/>
      <c r="T13" s="917"/>
      <c r="U13" s="918"/>
    </row>
    <row r="14" spans="1:22" ht="26.1" customHeight="1" x14ac:dyDescent="0.25">
      <c r="B14" s="2"/>
      <c r="C14" s="2"/>
      <c r="D14" s="2"/>
      <c r="E14" s="2"/>
      <c r="F14" s="931"/>
      <c r="G14" s="932"/>
      <c r="H14" s="932"/>
      <c r="I14" s="932"/>
      <c r="J14" s="933"/>
      <c r="K14" s="317" t="s">
        <v>436</v>
      </c>
      <c r="L14" s="937"/>
      <c r="M14" s="919"/>
      <c r="N14" s="920"/>
      <c r="O14" s="920"/>
      <c r="P14" s="920"/>
      <c r="Q14" s="920"/>
      <c r="R14" s="920"/>
      <c r="S14" s="920"/>
      <c r="T14" s="920"/>
      <c r="U14" s="921"/>
    </row>
    <row r="15" spans="1:22" ht="30" customHeight="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22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2:17" ht="14.45" customHeight="1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2:17" ht="14.45" customHeight="1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2:17" ht="14.45" customHeight="1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2:17" ht="14.45" customHeight="1" x14ac:dyDescent="0.25"/>
  </sheetData>
  <mergeCells count="28">
    <mergeCell ref="V5:V6"/>
    <mergeCell ref="A1:A6"/>
    <mergeCell ref="F1:J2"/>
    <mergeCell ref="K1:K2"/>
    <mergeCell ref="L1:L2"/>
    <mergeCell ref="M1:U2"/>
    <mergeCell ref="F3:J4"/>
    <mergeCell ref="K3:K4"/>
    <mergeCell ref="L3:L4"/>
    <mergeCell ref="M3:U4"/>
    <mergeCell ref="F5:J6"/>
    <mergeCell ref="F7:J8"/>
    <mergeCell ref="F9:J10"/>
    <mergeCell ref="M5:U6"/>
    <mergeCell ref="M7:U8"/>
    <mergeCell ref="M9:U10"/>
    <mergeCell ref="K5:K6"/>
    <mergeCell ref="L5:L6"/>
    <mergeCell ref="K7:K8"/>
    <mergeCell ref="L7:L8"/>
    <mergeCell ref="L9:L10"/>
    <mergeCell ref="M11:U12"/>
    <mergeCell ref="M13:U14"/>
    <mergeCell ref="F11:J12"/>
    <mergeCell ref="F13:J14"/>
    <mergeCell ref="K11:K12"/>
    <mergeCell ref="L11:L12"/>
    <mergeCell ref="L13:L14"/>
  </mergeCells>
  <hyperlinks>
    <hyperlink ref="A1:A3" location="'__ANA SAYFA'!A1" display="ANA SAYFA" xr:uid="{00000000-0004-0000-0800-000000000000}"/>
  </hyperlink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V125"/>
  <sheetViews>
    <sheetView zoomScale="70" zoomScaleNormal="70" workbookViewId="0">
      <selection sqref="A1:A5"/>
    </sheetView>
  </sheetViews>
  <sheetFormatPr defaultRowHeight="27" x14ac:dyDescent="0.25"/>
  <cols>
    <col min="1" max="1" width="6.28515625" style="68" customWidth="1"/>
    <col min="2" max="2" width="29.7109375" style="4" customWidth="1"/>
    <col min="3" max="4" width="18.140625" style="4" customWidth="1"/>
    <col min="5" max="5" width="16.42578125" style="4" bestFit="1" customWidth="1"/>
    <col min="6" max="6" width="2.7109375" style="7" customWidth="1"/>
    <col min="7" max="7" width="29.7109375" style="4" customWidth="1"/>
    <col min="8" max="9" width="16.7109375" style="4" customWidth="1"/>
    <col min="10" max="10" width="16.42578125" style="4" customWidth="1"/>
    <col min="11" max="11" width="2.7109375" style="7" customWidth="1"/>
    <col min="12" max="12" width="11.85546875" style="7" customWidth="1"/>
    <col min="13" max="13" width="2.7109375" style="7" customWidth="1"/>
    <col min="14" max="14" width="28.42578125" style="4" customWidth="1"/>
    <col min="15" max="15" width="2.7109375" style="7" customWidth="1"/>
    <col min="16" max="16" width="19.140625" style="4" customWidth="1"/>
    <col min="17" max="17" width="2.7109375" style="7" customWidth="1"/>
    <col min="18" max="18" width="13.85546875" style="57" customWidth="1"/>
    <col min="19" max="19" width="13.85546875" customWidth="1"/>
    <col min="20" max="20" width="13.42578125" customWidth="1"/>
    <col min="21" max="22" width="17.140625" customWidth="1"/>
  </cols>
  <sheetData>
    <row r="1" spans="1:22" ht="52.5" customHeight="1" thickBot="1" x14ac:dyDescent="0.3">
      <c r="A1" s="956" t="s">
        <v>96</v>
      </c>
      <c r="B1" s="517" t="s">
        <v>307</v>
      </c>
      <c r="C1" s="518" t="s">
        <v>63</v>
      </c>
      <c r="D1" s="518" t="s">
        <v>308</v>
      </c>
      <c r="E1" s="519" t="s">
        <v>309</v>
      </c>
      <c r="F1" s="169"/>
      <c r="G1" s="528" t="s">
        <v>307</v>
      </c>
      <c r="H1" s="529" t="s">
        <v>63</v>
      </c>
      <c r="I1" s="529" t="s">
        <v>308</v>
      </c>
      <c r="J1" s="530" t="s">
        <v>309</v>
      </c>
      <c r="K1" s="169"/>
      <c r="L1" s="169"/>
      <c r="M1" s="169"/>
      <c r="N1" s="533" t="s">
        <v>308</v>
      </c>
      <c r="O1" s="169"/>
      <c r="P1" s="537" t="s">
        <v>308</v>
      </c>
      <c r="Q1" s="169"/>
      <c r="R1" s="954" t="s">
        <v>790</v>
      </c>
      <c r="S1" s="954"/>
      <c r="T1" s="10"/>
      <c r="U1" s="10"/>
      <c r="V1" s="10"/>
    </row>
    <row r="2" spans="1:22" ht="33.75" customHeight="1" thickTop="1" x14ac:dyDescent="0.25">
      <c r="A2" s="956"/>
      <c r="B2" s="520" t="s">
        <v>310</v>
      </c>
      <c r="C2" s="521">
        <v>10000</v>
      </c>
      <c r="D2" s="521">
        <v>9900</v>
      </c>
      <c r="E2" s="522" t="s">
        <v>311</v>
      </c>
      <c r="F2" s="169"/>
      <c r="G2" s="520" t="s">
        <v>310</v>
      </c>
      <c r="H2" s="531">
        <v>10000</v>
      </c>
      <c r="I2" s="531">
        <v>9900</v>
      </c>
      <c r="J2" s="522" t="s">
        <v>311</v>
      </c>
      <c r="K2" s="169"/>
      <c r="L2" s="501" t="s">
        <v>311</v>
      </c>
      <c r="M2" s="169"/>
      <c r="N2" s="534">
        <v>15000</v>
      </c>
      <c r="O2" s="169"/>
      <c r="P2" s="534">
        <v>1000</v>
      </c>
      <c r="Q2" s="169"/>
      <c r="R2" s="955"/>
      <c r="S2" s="955"/>
      <c r="T2" s="10"/>
      <c r="U2" s="10"/>
      <c r="V2" s="10"/>
    </row>
    <row r="3" spans="1:22" ht="33.75" customHeight="1" x14ac:dyDescent="0.25">
      <c r="A3" s="956"/>
      <c r="B3" s="523" t="s">
        <v>312</v>
      </c>
      <c r="C3" s="170">
        <v>15000</v>
      </c>
      <c r="D3" s="170">
        <v>21000</v>
      </c>
      <c r="E3" s="524" t="s">
        <v>313</v>
      </c>
      <c r="F3" s="169"/>
      <c r="G3" s="523" t="s">
        <v>312</v>
      </c>
      <c r="H3" s="171">
        <v>15000</v>
      </c>
      <c r="I3" s="171">
        <v>21000</v>
      </c>
      <c r="J3" s="524" t="s">
        <v>313</v>
      </c>
      <c r="K3" s="169"/>
      <c r="L3" s="501" t="s">
        <v>311</v>
      </c>
      <c r="M3" s="169"/>
      <c r="N3" s="535">
        <v>21000</v>
      </c>
      <c r="O3" s="169"/>
      <c r="P3" s="535">
        <v>2000</v>
      </c>
      <c r="Q3" s="169"/>
      <c r="R3" s="955"/>
      <c r="S3" s="955"/>
      <c r="T3" s="10"/>
      <c r="U3" s="10"/>
      <c r="V3" s="10"/>
    </row>
    <row r="4" spans="1:22" ht="33.75" customHeight="1" x14ac:dyDescent="0.25">
      <c r="A4" s="956"/>
      <c r="B4" s="523" t="s">
        <v>314</v>
      </c>
      <c r="C4" s="170">
        <v>20000</v>
      </c>
      <c r="D4" s="170">
        <v>17000</v>
      </c>
      <c r="E4" s="524" t="s">
        <v>315</v>
      </c>
      <c r="F4" s="169"/>
      <c r="G4" s="523" t="s">
        <v>314</v>
      </c>
      <c r="H4" s="171">
        <v>20000</v>
      </c>
      <c r="I4" s="171">
        <v>17000</v>
      </c>
      <c r="J4" s="524" t="s">
        <v>315</v>
      </c>
      <c r="K4" s="169"/>
      <c r="L4" s="501" t="s">
        <v>313</v>
      </c>
      <c r="M4" s="169"/>
      <c r="N4" s="535">
        <v>17000</v>
      </c>
      <c r="O4" s="169"/>
      <c r="P4" s="535">
        <v>3000</v>
      </c>
      <c r="Q4" s="169"/>
      <c r="R4" s="955"/>
      <c r="S4" s="955"/>
      <c r="T4" s="10"/>
      <c r="U4" s="10"/>
      <c r="V4" s="10"/>
    </row>
    <row r="5" spans="1:22" ht="33.75" customHeight="1" x14ac:dyDescent="0.25">
      <c r="A5" s="956"/>
      <c r="B5" s="523" t="s">
        <v>316</v>
      </c>
      <c r="C5" s="170">
        <v>10000</v>
      </c>
      <c r="D5" s="170">
        <v>8000</v>
      </c>
      <c r="E5" s="524" t="s">
        <v>311</v>
      </c>
      <c r="F5" s="169"/>
      <c r="G5" s="523" t="s">
        <v>316</v>
      </c>
      <c r="H5" s="171">
        <v>10000</v>
      </c>
      <c r="I5" s="171">
        <v>8000</v>
      </c>
      <c r="J5" s="524" t="s">
        <v>311</v>
      </c>
      <c r="K5" s="169"/>
      <c r="L5" s="501" t="s">
        <v>313</v>
      </c>
      <c r="M5" s="169"/>
      <c r="N5" s="535">
        <v>24000</v>
      </c>
      <c r="O5" s="169"/>
      <c r="P5" s="535">
        <v>4000</v>
      </c>
      <c r="Q5" s="169"/>
      <c r="R5" s="955"/>
      <c r="S5" s="955"/>
      <c r="T5" s="10"/>
      <c r="U5" s="10"/>
      <c r="V5" s="10"/>
    </row>
    <row r="6" spans="1:22" ht="33.75" customHeight="1" x14ac:dyDescent="0.25">
      <c r="B6" s="523" t="s">
        <v>317</v>
      </c>
      <c r="C6" s="170">
        <v>12000</v>
      </c>
      <c r="D6" s="170">
        <v>13500</v>
      </c>
      <c r="E6" s="524" t="s">
        <v>311</v>
      </c>
      <c r="F6" s="169"/>
      <c r="G6" s="523" t="s">
        <v>317</v>
      </c>
      <c r="H6" s="171">
        <v>12000</v>
      </c>
      <c r="I6" s="171">
        <v>13500</v>
      </c>
      <c r="J6" s="524" t="s">
        <v>311</v>
      </c>
      <c r="K6" s="169"/>
      <c r="L6" s="501" t="s">
        <v>313</v>
      </c>
      <c r="M6" s="169"/>
      <c r="N6" s="535">
        <v>13500</v>
      </c>
      <c r="O6" s="169"/>
      <c r="P6" s="535">
        <v>5000</v>
      </c>
      <c r="Q6" s="169"/>
      <c r="R6" s="955"/>
      <c r="S6" s="955"/>
      <c r="T6" s="10"/>
      <c r="U6" s="10"/>
      <c r="V6" s="10"/>
    </row>
    <row r="7" spans="1:22" ht="33.75" customHeight="1" x14ac:dyDescent="0.25">
      <c r="B7" s="523" t="s">
        <v>318</v>
      </c>
      <c r="C7" s="170">
        <v>25000</v>
      </c>
      <c r="D7" s="170">
        <v>22000</v>
      </c>
      <c r="E7" s="524" t="s">
        <v>315</v>
      </c>
      <c r="F7" s="169"/>
      <c r="G7" s="523" t="s">
        <v>318</v>
      </c>
      <c r="H7" s="171">
        <v>25000</v>
      </c>
      <c r="I7" s="171">
        <v>24000</v>
      </c>
      <c r="J7" s="524" t="s">
        <v>315</v>
      </c>
      <c r="K7" s="169"/>
      <c r="L7" s="501" t="s">
        <v>315</v>
      </c>
      <c r="M7" s="169"/>
      <c r="N7" s="535">
        <v>24000</v>
      </c>
      <c r="O7" s="169"/>
      <c r="P7" s="535">
        <v>6000</v>
      </c>
      <c r="Q7" s="169"/>
      <c r="R7" s="955"/>
      <c r="S7" s="955"/>
      <c r="T7" s="10"/>
      <c r="U7" s="10"/>
      <c r="V7" s="10"/>
    </row>
    <row r="8" spans="1:22" ht="33.75" customHeight="1" thickBot="1" x14ac:dyDescent="0.3">
      <c r="B8" s="525" t="s">
        <v>319</v>
      </c>
      <c r="C8" s="526">
        <v>5000</v>
      </c>
      <c r="D8" s="526">
        <v>5050</v>
      </c>
      <c r="E8" s="527" t="s">
        <v>313</v>
      </c>
      <c r="F8" s="169"/>
      <c r="G8" s="525" t="s">
        <v>319</v>
      </c>
      <c r="H8" s="532">
        <v>5000</v>
      </c>
      <c r="I8" s="532">
        <v>4950</v>
      </c>
      <c r="J8" s="527" t="s">
        <v>313</v>
      </c>
      <c r="K8" s="169"/>
      <c r="L8" s="501" t="s">
        <v>315</v>
      </c>
      <c r="M8" s="169"/>
      <c r="N8" s="536">
        <v>50000</v>
      </c>
      <c r="O8" s="169"/>
      <c r="P8" s="536">
        <v>7000</v>
      </c>
      <c r="Q8" s="169"/>
      <c r="R8" s="955"/>
      <c r="S8" s="955"/>
    </row>
    <row r="9" spans="1:22" ht="18.95" customHeight="1" thickTop="1" x14ac:dyDescent="0.25">
      <c r="B9" s="172"/>
      <c r="C9" s="172"/>
      <c r="D9" s="173"/>
      <c r="E9" s="173"/>
      <c r="F9" s="169"/>
      <c r="G9" s="172"/>
      <c r="H9" s="172"/>
      <c r="I9" s="173"/>
      <c r="J9" s="173"/>
      <c r="K9" s="169"/>
      <c r="L9" s="169"/>
      <c r="M9" s="169"/>
      <c r="N9" s="173"/>
      <c r="O9" s="169"/>
      <c r="P9" s="173"/>
      <c r="Q9" s="169"/>
      <c r="R9" s="955"/>
      <c r="S9" s="955"/>
    </row>
    <row r="10" spans="1:22" ht="36.75" customHeight="1" x14ac:dyDescent="0.25">
      <c r="B10" s="312" t="s">
        <v>391</v>
      </c>
      <c r="C10" s="313"/>
      <c r="D10" s="314"/>
      <c r="E10" s="314"/>
      <c r="G10" s="318" t="s">
        <v>315</v>
      </c>
      <c r="H10" s="46" t="s">
        <v>311</v>
      </c>
      <c r="I10" s="46" t="s">
        <v>313</v>
      </c>
      <c r="J10" s="46" t="s">
        <v>315</v>
      </c>
      <c r="N10" s="958" t="s">
        <v>587</v>
      </c>
      <c r="P10" s="958" t="s">
        <v>390</v>
      </c>
      <c r="R10" s="955"/>
      <c r="S10" s="955"/>
    </row>
    <row r="11" spans="1:22" ht="18.95" customHeight="1" x14ac:dyDescent="0.25">
      <c r="B11" s="957" t="s">
        <v>615</v>
      </c>
      <c r="C11" s="957"/>
      <c r="D11" s="957"/>
      <c r="E11" s="957"/>
      <c r="N11" s="958"/>
      <c r="O11"/>
      <c r="P11" s="958"/>
      <c r="Q11"/>
      <c r="R11" s="955"/>
      <c r="S11" s="955"/>
      <c r="T11" s="55"/>
      <c r="U11" s="55"/>
    </row>
    <row r="12" spans="1:22" ht="18.95" customHeight="1" x14ac:dyDescent="0.25">
      <c r="B12" s="957"/>
      <c r="C12" s="957"/>
      <c r="D12" s="957"/>
      <c r="E12" s="957"/>
      <c r="G12" s="959" t="s">
        <v>693</v>
      </c>
      <c r="H12" s="959"/>
      <c r="I12" s="959"/>
      <c r="J12" s="959"/>
      <c r="N12" s="958"/>
      <c r="O12"/>
      <c r="P12" s="958"/>
      <c r="Q12"/>
      <c r="R12" s="955"/>
      <c r="S12" s="955"/>
    </row>
    <row r="13" spans="1:22" ht="18.95" customHeight="1" x14ac:dyDescent="0.25">
      <c r="B13" s="957"/>
      <c r="C13" s="957"/>
      <c r="D13" s="957"/>
      <c r="E13" s="957"/>
      <c r="G13" s="959"/>
      <c r="H13" s="959"/>
      <c r="I13" s="959"/>
      <c r="J13" s="959"/>
      <c r="N13" s="958"/>
      <c r="O13"/>
      <c r="P13" s="958"/>
      <c r="Q13"/>
      <c r="R13" s="955"/>
      <c r="S13" s="955"/>
    </row>
    <row r="14" spans="1:22" ht="18.95" customHeight="1" x14ac:dyDescent="0.25">
      <c r="B14" s="957"/>
      <c r="C14" s="957"/>
      <c r="D14" s="957"/>
      <c r="E14" s="957"/>
      <c r="G14" s="959"/>
      <c r="H14" s="959"/>
      <c r="I14" s="959"/>
      <c r="J14" s="959"/>
      <c r="N14" s="958"/>
      <c r="O14"/>
      <c r="P14" s="958"/>
      <c r="Q14"/>
      <c r="R14" s="955"/>
      <c r="S14" s="955"/>
    </row>
    <row r="15" spans="1:22" ht="18.95" customHeight="1" x14ac:dyDescent="0.25">
      <c r="B15" s="957"/>
      <c r="C15" s="957"/>
      <c r="D15" s="957"/>
      <c r="E15" s="957"/>
      <c r="G15" s="959"/>
      <c r="H15" s="959"/>
      <c r="I15" s="959"/>
      <c r="J15" s="959"/>
      <c r="N15" s="958"/>
      <c r="O15"/>
      <c r="P15" s="958"/>
      <c r="Q15"/>
      <c r="R15" s="955"/>
      <c r="S15" s="955"/>
    </row>
    <row r="16" spans="1:22" ht="18.95" customHeight="1" x14ac:dyDescent="0.25">
      <c r="B16" s="25"/>
      <c r="C16" s="25"/>
      <c r="D16" s="24"/>
      <c r="E16" s="24"/>
      <c r="G16" s="959"/>
      <c r="H16" s="959"/>
      <c r="I16" s="959"/>
      <c r="J16" s="959"/>
      <c r="N16" s="958"/>
      <c r="P16" s="958"/>
      <c r="R16" s="955"/>
      <c r="S16" s="955"/>
    </row>
    <row r="17" spans="1:19" ht="18.95" customHeight="1" x14ac:dyDescent="0.25">
      <c r="B17" s="25"/>
      <c r="C17" s="25"/>
      <c r="D17" s="24"/>
      <c r="E17" s="24"/>
      <c r="G17" s="959"/>
      <c r="H17" s="959"/>
      <c r="I17" s="959"/>
      <c r="J17" s="959"/>
      <c r="N17" s="24"/>
      <c r="R17" s="4"/>
    </row>
    <row r="18" spans="1:19" ht="18.95" customHeight="1" x14ac:dyDescent="0.25">
      <c r="B18" s="25"/>
      <c r="C18" s="25"/>
      <c r="D18" s="24"/>
      <c r="E18" s="24"/>
      <c r="G18" s="959"/>
      <c r="H18" s="959"/>
      <c r="I18" s="959"/>
      <c r="J18" s="959"/>
      <c r="N18" s="24"/>
      <c r="R18" s="56"/>
    </row>
    <row r="19" spans="1:19" ht="18.95" customHeight="1" x14ac:dyDescent="0.25">
      <c r="B19" s="25"/>
      <c r="C19" s="25"/>
      <c r="D19" s="24"/>
      <c r="E19" s="24"/>
      <c r="N19" s="24"/>
      <c r="P19" s="24"/>
    </row>
    <row r="20" spans="1:19" ht="18.95" customHeight="1" x14ac:dyDescent="0.25">
      <c r="B20" s="25"/>
      <c r="C20" s="25"/>
      <c r="D20" s="24"/>
      <c r="E20" s="24"/>
      <c r="N20" s="24"/>
      <c r="P20" s="24"/>
    </row>
    <row r="21" spans="1:19" ht="18.95" customHeight="1" x14ac:dyDescent="0.25">
      <c r="B21" s="25"/>
      <c r="C21" s="25"/>
      <c r="D21" s="24"/>
      <c r="E21" s="24"/>
      <c r="N21" s="24"/>
      <c r="P21" s="24"/>
    </row>
    <row r="22" spans="1:19" ht="18.95" customHeight="1" x14ac:dyDescent="0.25">
      <c r="B22" s="25"/>
      <c r="C22" s="25"/>
      <c r="D22" s="24"/>
      <c r="E22" s="24"/>
      <c r="N22" s="24"/>
      <c r="P22" s="24"/>
    </row>
    <row r="24" spans="1:19" x14ac:dyDescent="0.25">
      <c r="B24" s="26"/>
    </row>
    <row r="25" spans="1:19" x14ac:dyDescent="0.25">
      <c r="B25" s="26"/>
      <c r="G25" s="26"/>
    </row>
    <row r="26" spans="1:19" x14ac:dyDescent="0.25">
      <c r="B26" s="26"/>
      <c r="G26" s="26"/>
    </row>
    <row r="27" spans="1:19" x14ac:dyDescent="0.25">
      <c r="B27" s="26"/>
      <c r="G27" s="26"/>
    </row>
    <row r="28" spans="1:19" x14ac:dyDescent="0.25">
      <c r="B28" s="26"/>
      <c r="G28" s="26"/>
    </row>
    <row r="29" spans="1:19" s="4" customFormat="1" x14ac:dyDescent="0.25">
      <c r="A29" s="68"/>
      <c r="B29" s="26"/>
      <c r="F29" s="7"/>
      <c r="G29" s="26"/>
      <c r="K29" s="7"/>
      <c r="L29" s="7"/>
      <c r="M29" s="7"/>
      <c r="O29" s="7"/>
      <c r="Q29" s="7"/>
      <c r="R29" s="57"/>
      <c r="S29"/>
    </row>
    <row r="30" spans="1:19" s="4" customFormat="1" x14ac:dyDescent="0.25">
      <c r="A30" s="68"/>
      <c r="B30" s="26"/>
      <c r="F30" s="7"/>
      <c r="K30" s="7"/>
      <c r="L30" s="7"/>
      <c r="M30" s="7"/>
      <c r="O30" s="7"/>
      <c r="Q30" s="7"/>
      <c r="R30" s="57"/>
      <c r="S30"/>
    </row>
    <row r="31" spans="1:19" s="4" customFormat="1" x14ac:dyDescent="0.25">
      <c r="A31" s="68"/>
      <c r="B31" s="26"/>
      <c r="F31" s="7"/>
      <c r="K31" s="7"/>
      <c r="L31" s="7"/>
      <c r="M31" s="7"/>
      <c r="O31" s="7"/>
      <c r="Q31" s="7"/>
      <c r="R31" s="57"/>
      <c r="S31"/>
    </row>
    <row r="32" spans="1:19" s="4" customFormat="1" x14ac:dyDescent="0.25">
      <c r="A32" s="68"/>
      <c r="B32" s="26"/>
      <c r="F32" s="7"/>
      <c r="K32" s="7"/>
      <c r="L32" s="7"/>
      <c r="M32" s="7"/>
      <c r="O32" s="7"/>
      <c r="Q32" s="7"/>
      <c r="R32" s="57"/>
      <c r="S32"/>
    </row>
    <row r="33" spans="1:19" s="4" customFormat="1" x14ac:dyDescent="0.25">
      <c r="A33" s="68"/>
      <c r="B33" s="26"/>
      <c r="F33" s="7"/>
      <c r="K33" s="7"/>
      <c r="L33" s="7"/>
      <c r="M33" s="7"/>
      <c r="O33" s="7"/>
      <c r="Q33" s="7"/>
      <c r="R33" s="57"/>
      <c r="S33"/>
    </row>
    <row r="34" spans="1:19" s="4" customFormat="1" x14ac:dyDescent="0.25">
      <c r="A34" s="68"/>
      <c r="B34" s="26"/>
      <c r="F34" s="7"/>
      <c r="K34" s="7"/>
      <c r="L34" s="7"/>
      <c r="M34" s="7"/>
      <c r="O34" s="7"/>
      <c r="Q34" s="7"/>
      <c r="R34" s="57"/>
      <c r="S34"/>
    </row>
    <row r="35" spans="1:19" s="4" customFormat="1" x14ac:dyDescent="0.25">
      <c r="A35" s="68"/>
      <c r="B35" s="26"/>
      <c r="F35" s="7"/>
      <c r="K35" s="7"/>
      <c r="L35" s="7"/>
      <c r="M35" s="7"/>
      <c r="O35" s="7"/>
      <c r="Q35" s="7"/>
      <c r="R35" s="57"/>
      <c r="S35"/>
    </row>
    <row r="36" spans="1:19" s="4" customFormat="1" x14ac:dyDescent="0.25">
      <c r="A36" s="68"/>
      <c r="B36" s="26"/>
      <c r="F36" s="7"/>
      <c r="K36" s="7"/>
      <c r="L36" s="7"/>
      <c r="M36" s="7"/>
      <c r="O36" s="7"/>
      <c r="Q36" s="7"/>
      <c r="R36" s="57"/>
      <c r="S36"/>
    </row>
    <row r="37" spans="1:19" s="4" customFormat="1" x14ac:dyDescent="0.25">
      <c r="A37" s="68"/>
      <c r="B37" s="26"/>
      <c r="F37" s="7"/>
      <c r="G37" s="26"/>
      <c r="K37" s="7"/>
      <c r="L37" s="7"/>
      <c r="M37" s="7"/>
      <c r="O37" s="7"/>
      <c r="Q37" s="7"/>
      <c r="R37" s="57"/>
      <c r="S37"/>
    </row>
    <row r="38" spans="1:19" s="4" customFormat="1" x14ac:dyDescent="0.25">
      <c r="A38" s="68"/>
      <c r="B38" s="26"/>
      <c r="F38" s="7"/>
      <c r="G38" s="26"/>
      <c r="K38" s="7"/>
      <c r="L38" s="7"/>
      <c r="M38" s="7"/>
      <c r="O38" s="7"/>
      <c r="Q38" s="7"/>
      <c r="R38" s="57"/>
      <c r="S38"/>
    </row>
    <row r="39" spans="1:19" s="4" customFormat="1" x14ac:dyDescent="0.25">
      <c r="A39" s="68"/>
      <c r="B39" s="26"/>
      <c r="F39" s="7"/>
      <c r="G39" s="26"/>
      <c r="K39" s="7"/>
      <c r="L39" s="7"/>
      <c r="M39" s="7"/>
      <c r="O39" s="7"/>
      <c r="Q39" s="7"/>
      <c r="R39" s="57"/>
      <c r="S39"/>
    </row>
    <row r="40" spans="1:19" s="4" customFormat="1" x14ac:dyDescent="0.25">
      <c r="A40" s="68"/>
      <c r="B40" s="26"/>
      <c r="F40" s="7"/>
      <c r="G40" s="26"/>
      <c r="K40" s="7"/>
      <c r="L40" s="7"/>
      <c r="M40" s="7"/>
      <c r="O40" s="7"/>
      <c r="Q40" s="7"/>
      <c r="R40" s="57"/>
      <c r="S40"/>
    </row>
    <row r="41" spans="1:19" s="4" customFormat="1" x14ac:dyDescent="0.25">
      <c r="A41" s="68"/>
      <c r="B41" s="26"/>
      <c r="F41" s="7"/>
      <c r="G41" s="26"/>
      <c r="K41" s="7"/>
      <c r="L41" s="7"/>
      <c r="M41" s="7"/>
      <c r="O41" s="7"/>
      <c r="Q41" s="7"/>
      <c r="R41" s="57"/>
      <c r="S41"/>
    </row>
    <row r="42" spans="1:19" s="4" customFormat="1" x14ac:dyDescent="0.25">
      <c r="A42" s="68"/>
      <c r="B42" s="26"/>
      <c r="F42" s="7"/>
      <c r="G42" s="26"/>
      <c r="K42" s="7"/>
      <c r="L42" s="7"/>
      <c r="M42" s="7"/>
      <c r="O42" s="7"/>
      <c r="Q42" s="7"/>
      <c r="R42" s="57"/>
      <c r="S42"/>
    </row>
    <row r="43" spans="1:19" s="4" customFormat="1" x14ac:dyDescent="0.25">
      <c r="A43" s="68"/>
      <c r="B43" s="26"/>
      <c r="F43" s="7"/>
      <c r="G43" s="26"/>
      <c r="K43" s="7"/>
      <c r="L43" s="7"/>
      <c r="M43" s="7"/>
      <c r="O43" s="7"/>
      <c r="Q43" s="7"/>
      <c r="R43" s="57"/>
      <c r="S43"/>
    </row>
    <row r="44" spans="1:19" s="4" customFormat="1" x14ac:dyDescent="0.25">
      <c r="A44" s="68"/>
      <c r="B44" s="26"/>
      <c r="F44" s="7"/>
      <c r="G44" s="26"/>
      <c r="K44" s="7"/>
      <c r="L44" s="7"/>
      <c r="M44" s="7"/>
      <c r="O44" s="7"/>
      <c r="Q44" s="7"/>
      <c r="R44" s="57"/>
      <c r="S44"/>
    </row>
    <row r="45" spans="1:19" s="4" customFormat="1" x14ac:dyDescent="0.25">
      <c r="A45" s="68"/>
      <c r="B45" s="26"/>
      <c r="F45" s="7"/>
      <c r="G45" s="26"/>
      <c r="K45" s="7"/>
      <c r="L45" s="7"/>
      <c r="M45" s="7"/>
      <c r="O45" s="7"/>
      <c r="Q45" s="7"/>
      <c r="R45" s="57"/>
      <c r="S45"/>
    </row>
    <row r="46" spans="1:19" s="4" customFormat="1" x14ac:dyDescent="0.25">
      <c r="A46" s="68"/>
      <c r="B46" s="26"/>
      <c r="F46" s="7"/>
      <c r="G46" s="26"/>
      <c r="K46" s="7"/>
      <c r="L46" s="7"/>
      <c r="M46" s="7"/>
      <c r="O46" s="7"/>
      <c r="Q46" s="7"/>
      <c r="R46" s="57"/>
      <c r="S46"/>
    </row>
    <row r="47" spans="1:19" s="4" customFormat="1" x14ac:dyDescent="0.25">
      <c r="A47" s="68"/>
      <c r="B47" s="26"/>
      <c r="F47" s="7"/>
      <c r="G47" s="26"/>
      <c r="K47" s="7"/>
      <c r="L47" s="7"/>
      <c r="M47" s="7"/>
      <c r="O47" s="7"/>
      <c r="Q47" s="7"/>
      <c r="R47" s="57"/>
      <c r="S47"/>
    </row>
    <row r="48" spans="1:19" s="4" customFormat="1" x14ac:dyDescent="0.25">
      <c r="A48" s="68"/>
      <c r="B48" s="26"/>
      <c r="F48" s="7"/>
      <c r="G48" s="26"/>
      <c r="K48" s="7"/>
      <c r="L48" s="7"/>
      <c r="M48" s="7"/>
      <c r="O48" s="7"/>
      <c r="Q48" s="7"/>
      <c r="R48" s="57"/>
      <c r="S48"/>
    </row>
    <row r="49" spans="1:19" s="4" customFormat="1" x14ac:dyDescent="0.25">
      <c r="A49" s="68"/>
      <c r="B49" s="26"/>
      <c r="F49" s="7"/>
      <c r="G49" s="26"/>
      <c r="K49" s="7"/>
      <c r="L49" s="7"/>
      <c r="M49" s="7"/>
      <c r="O49" s="7"/>
      <c r="Q49" s="7"/>
      <c r="R49" s="57"/>
      <c r="S49"/>
    </row>
    <row r="50" spans="1:19" s="4" customFormat="1" x14ac:dyDescent="0.25">
      <c r="A50" s="68"/>
      <c r="B50" s="26"/>
      <c r="F50" s="7"/>
      <c r="G50" s="26"/>
      <c r="K50" s="7"/>
      <c r="L50" s="7"/>
      <c r="M50" s="7"/>
      <c r="O50" s="7"/>
      <c r="Q50" s="7"/>
      <c r="R50" s="57"/>
      <c r="S50"/>
    </row>
    <row r="51" spans="1:19" s="4" customFormat="1" x14ac:dyDescent="0.25">
      <c r="A51" s="68"/>
      <c r="B51" s="26"/>
      <c r="F51" s="7"/>
      <c r="G51" s="26"/>
      <c r="K51" s="7"/>
      <c r="L51" s="7"/>
      <c r="M51" s="7"/>
      <c r="O51" s="7"/>
      <c r="Q51" s="7"/>
      <c r="R51" s="57"/>
      <c r="S51"/>
    </row>
    <row r="52" spans="1:19" s="4" customFormat="1" x14ac:dyDescent="0.25">
      <c r="A52" s="68"/>
      <c r="B52" s="26"/>
      <c r="F52" s="7"/>
      <c r="G52" s="26"/>
      <c r="K52" s="7"/>
      <c r="L52" s="7"/>
      <c r="M52" s="7"/>
      <c r="O52" s="7"/>
      <c r="Q52" s="7"/>
      <c r="R52" s="57"/>
      <c r="S52"/>
    </row>
    <row r="53" spans="1:19" s="4" customFormat="1" x14ac:dyDescent="0.25">
      <c r="A53" s="68"/>
      <c r="B53" s="26"/>
      <c r="F53" s="7"/>
      <c r="G53" s="26"/>
      <c r="K53" s="7"/>
      <c r="L53" s="7"/>
      <c r="M53" s="7"/>
      <c r="O53" s="7"/>
      <c r="Q53" s="7"/>
      <c r="R53" s="57"/>
      <c r="S53"/>
    </row>
    <row r="54" spans="1:19" s="4" customFormat="1" x14ac:dyDescent="0.25">
      <c r="A54" s="68"/>
      <c r="B54" s="26"/>
      <c r="F54" s="7"/>
      <c r="G54" s="26"/>
      <c r="K54" s="7"/>
      <c r="L54" s="7"/>
      <c r="M54" s="7"/>
      <c r="O54" s="7"/>
      <c r="Q54" s="7"/>
      <c r="R54" s="57"/>
      <c r="S54"/>
    </row>
    <row r="55" spans="1:19" s="4" customFormat="1" x14ac:dyDescent="0.25">
      <c r="A55" s="68"/>
      <c r="B55" s="26"/>
      <c r="F55" s="7"/>
      <c r="G55" s="26"/>
      <c r="K55" s="7"/>
      <c r="L55" s="7"/>
      <c r="M55" s="7"/>
      <c r="O55" s="7"/>
      <c r="Q55" s="7"/>
      <c r="R55" s="57"/>
      <c r="S55"/>
    </row>
    <row r="56" spans="1:19" s="4" customFormat="1" x14ac:dyDescent="0.25">
      <c r="A56" s="68"/>
      <c r="F56" s="7"/>
      <c r="K56" s="7"/>
      <c r="L56" s="7"/>
      <c r="M56" s="7"/>
      <c r="O56" s="7"/>
      <c r="Q56" s="7"/>
      <c r="R56" s="57"/>
      <c r="S56"/>
    </row>
    <row r="57" spans="1:19" s="4" customFormat="1" x14ac:dyDescent="0.25">
      <c r="A57" s="68"/>
      <c r="B57" s="26"/>
      <c r="F57" s="7"/>
      <c r="G57" s="26"/>
      <c r="K57" s="7"/>
      <c r="L57" s="7"/>
      <c r="M57" s="7"/>
      <c r="O57" s="7"/>
      <c r="Q57" s="7"/>
      <c r="R57" s="57"/>
      <c r="S57"/>
    </row>
    <row r="58" spans="1:19" s="4" customFormat="1" x14ac:dyDescent="0.25">
      <c r="A58" s="68"/>
      <c r="B58" s="26"/>
      <c r="F58" s="7"/>
      <c r="G58" s="26"/>
      <c r="K58" s="7"/>
      <c r="L58" s="7"/>
      <c r="M58" s="7"/>
      <c r="O58" s="7"/>
      <c r="Q58" s="7"/>
      <c r="R58" s="57"/>
      <c r="S58"/>
    </row>
    <row r="59" spans="1:19" s="4" customFormat="1" x14ac:dyDescent="0.25">
      <c r="A59" s="68"/>
      <c r="B59" s="26"/>
      <c r="F59" s="7"/>
      <c r="G59" s="26"/>
      <c r="K59" s="7"/>
      <c r="L59" s="7"/>
      <c r="M59" s="7"/>
      <c r="O59" s="7"/>
      <c r="Q59" s="7"/>
      <c r="R59" s="57"/>
      <c r="S59"/>
    </row>
    <row r="60" spans="1:19" s="4" customFormat="1" x14ac:dyDescent="0.25">
      <c r="A60" s="68"/>
      <c r="B60" s="26"/>
      <c r="F60" s="7"/>
      <c r="G60" s="26"/>
      <c r="K60" s="7"/>
      <c r="L60" s="7"/>
      <c r="M60" s="7"/>
      <c r="O60" s="7"/>
      <c r="Q60" s="7"/>
      <c r="R60" s="57"/>
      <c r="S60"/>
    </row>
    <row r="61" spans="1:19" s="4" customFormat="1" x14ac:dyDescent="0.25">
      <c r="A61" s="68"/>
      <c r="B61" s="26"/>
      <c r="F61" s="7"/>
      <c r="G61" s="26"/>
      <c r="K61" s="7"/>
      <c r="L61" s="7"/>
      <c r="M61" s="7"/>
      <c r="O61" s="7"/>
      <c r="Q61" s="7"/>
      <c r="R61" s="57"/>
      <c r="S61"/>
    </row>
    <row r="62" spans="1:19" s="4" customFormat="1" x14ac:dyDescent="0.25">
      <c r="A62" s="68"/>
      <c r="B62" s="26"/>
      <c r="F62" s="7"/>
      <c r="G62" s="26"/>
      <c r="K62" s="7"/>
      <c r="L62" s="7"/>
      <c r="M62" s="7"/>
      <c r="O62" s="7"/>
      <c r="Q62" s="7"/>
      <c r="R62" s="57"/>
      <c r="S62"/>
    </row>
    <row r="63" spans="1:19" s="4" customFormat="1" x14ac:dyDescent="0.25">
      <c r="A63" s="68"/>
      <c r="B63" s="26"/>
      <c r="F63" s="7"/>
      <c r="G63" s="26"/>
      <c r="K63" s="7"/>
      <c r="L63" s="7"/>
      <c r="M63" s="7"/>
      <c r="O63" s="7"/>
      <c r="Q63" s="7"/>
      <c r="R63" s="57"/>
      <c r="S63"/>
    </row>
    <row r="64" spans="1:19" s="4" customFormat="1" x14ac:dyDescent="0.25">
      <c r="A64" s="68"/>
      <c r="B64" s="26"/>
      <c r="F64" s="7"/>
      <c r="G64" s="26"/>
      <c r="K64" s="7"/>
      <c r="L64" s="7"/>
      <c r="M64" s="7"/>
      <c r="O64" s="7"/>
      <c r="Q64" s="7"/>
      <c r="R64" s="57"/>
      <c r="S64"/>
    </row>
    <row r="65" spans="1:19" s="4" customFormat="1" x14ac:dyDescent="0.25">
      <c r="A65" s="68"/>
      <c r="F65" s="7"/>
      <c r="K65" s="7"/>
      <c r="L65" s="7"/>
      <c r="M65" s="7"/>
      <c r="O65" s="7"/>
      <c r="Q65" s="7"/>
      <c r="R65" s="57"/>
      <c r="S65"/>
    </row>
    <row r="66" spans="1:19" s="4" customFormat="1" x14ac:dyDescent="0.25">
      <c r="A66" s="68"/>
      <c r="B66" s="27"/>
      <c r="F66" s="7"/>
      <c r="G66" s="27"/>
      <c r="K66" s="7"/>
      <c r="L66" s="7"/>
      <c r="M66" s="7"/>
      <c r="O66" s="7"/>
      <c r="Q66" s="7"/>
      <c r="R66" s="57"/>
      <c r="S66"/>
    </row>
    <row r="67" spans="1:19" s="4" customFormat="1" x14ac:dyDescent="0.25">
      <c r="A67" s="68"/>
      <c r="B67" s="26"/>
      <c r="F67" s="7"/>
      <c r="G67" s="26"/>
      <c r="K67" s="7"/>
      <c r="L67" s="7"/>
      <c r="M67" s="7"/>
      <c r="O67" s="7"/>
      <c r="Q67" s="7"/>
      <c r="R67" s="57"/>
      <c r="S67"/>
    </row>
    <row r="68" spans="1:19" s="4" customFormat="1" x14ac:dyDescent="0.25">
      <c r="A68" s="68"/>
      <c r="B68" s="26"/>
      <c r="F68" s="7"/>
      <c r="G68" s="26"/>
      <c r="K68" s="7"/>
      <c r="L68" s="7"/>
      <c r="M68" s="7"/>
      <c r="O68" s="7"/>
      <c r="Q68" s="7"/>
      <c r="R68" s="57"/>
      <c r="S68"/>
    </row>
    <row r="69" spans="1:19" s="4" customFormat="1" x14ac:dyDescent="0.25">
      <c r="A69" s="68"/>
      <c r="B69" s="26"/>
      <c r="F69" s="7"/>
      <c r="G69" s="26"/>
      <c r="K69" s="7"/>
      <c r="L69" s="7"/>
      <c r="M69" s="7"/>
      <c r="O69" s="7"/>
      <c r="Q69" s="7"/>
      <c r="R69" s="57"/>
      <c r="S69"/>
    </row>
    <row r="70" spans="1:19" s="4" customFormat="1" x14ac:dyDescent="0.25">
      <c r="A70" s="68"/>
      <c r="B70" s="26"/>
      <c r="F70" s="7"/>
      <c r="G70" s="26"/>
      <c r="K70" s="7"/>
      <c r="L70" s="7"/>
      <c r="M70" s="7"/>
      <c r="O70" s="7"/>
      <c r="Q70" s="7"/>
      <c r="R70" s="57"/>
      <c r="S70"/>
    </row>
    <row r="71" spans="1:19" s="4" customFormat="1" x14ac:dyDescent="0.25">
      <c r="A71" s="68"/>
      <c r="B71" s="26"/>
      <c r="F71" s="7"/>
      <c r="G71" s="26"/>
      <c r="K71" s="7"/>
      <c r="L71" s="7"/>
      <c r="M71" s="7"/>
      <c r="O71" s="7"/>
      <c r="Q71" s="7"/>
      <c r="R71" s="57"/>
      <c r="S71"/>
    </row>
    <row r="72" spans="1:19" s="4" customFormat="1" x14ac:dyDescent="0.25">
      <c r="A72" s="68"/>
      <c r="B72" s="26"/>
      <c r="F72" s="7"/>
      <c r="G72" s="26"/>
      <c r="K72" s="7"/>
      <c r="L72" s="7"/>
      <c r="M72" s="7"/>
      <c r="O72" s="7"/>
      <c r="Q72" s="7"/>
      <c r="R72" s="57"/>
      <c r="S72"/>
    </row>
    <row r="73" spans="1:19" s="4" customFormat="1" x14ac:dyDescent="0.25">
      <c r="A73" s="68"/>
      <c r="B73" s="26"/>
      <c r="F73" s="7"/>
      <c r="G73" s="26"/>
      <c r="K73" s="7"/>
      <c r="L73" s="7"/>
      <c r="M73" s="7"/>
      <c r="O73" s="7"/>
      <c r="Q73" s="7"/>
      <c r="R73" s="57"/>
      <c r="S73"/>
    </row>
    <row r="74" spans="1:19" s="4" customFormat="1" x14ac:dyDescent="0.25">
      <c r="A74" s="68"/>
      <c r="B74" s="26"/>
      <c r="F74" s="7"/>
      <c r="G74" s="26"/>
      <c r="K74" s="7"/>
      <c r="L74" s="7"/>
      <c r="M74" s="7"/>
      <c r="O74" s="7"/>
      <c r="Q74" s="7"/>
      <c r="R74" s="57"/>
      <c r="S74"/>
    </row>
    <row r="75" spans="1:19" s="4" customFormat="1" x14ac:dyDescent="0.25">
      <c r="A75" s="68"/>
      <c r="B75" s="26"/>
      <c r="F75" s="7"/>
      <c r="G75" s="26"/>
      <c r="K75" s="7"/>
      <c r="L75" s="7"/>
      <c r="M75" s="7"/>
      <c r="O75" s="7"/>
      <c r="Q75" s="7"/>
      <c r="R75" s="57"/>
      <c r="S75"/>
    </row>
    <row r="76" spans="1:19" s="4" customFormat="1" x14ac:dyDescent="0.25">
      <c r="A76" s="68"/>
      <c r="B76" s="26"/>
      <c r="F76" s="7"/>
      <c r="G76" s="26"/>
      <c r="K76" s="7"/>
      <c r="L76" s="7"/>
      <c r="M76" s="7"/>
      <c r="O76" s="7"/>
      <c r="Q76" s="7"/>
      <c r="R76" s="57"/>
      <c r="S76"/>
    </row>
    <row r="77" spans="1:19" s="4" customFormat="1" x14ac:dyDescent="0.25">
      <c r="A77" s="68"/>
      <c r="B77" s="26"/>
      <c r="F77" s="7"/>
      <c r="G77" s="26"/>
      <c r="K77" s="7"/>
      <c r="L77" s="7"/>
      <c r="M77" s="7"/>
      <c r="O77" s="7"/>
      <c r="Q77" s="7"/>
      <c r="R77" s="57"/>
      <c r="S77"/>
    </row>
    <row r="78" spans="1:19" s="4" customFormat="1" x14ac:dyDescent="0.25">
      <c r="A78" s="68"/>
      <c r="F78" s="7"/>
      <c r="K78" s="7"/>
      <c r="L78" s="7"/>
      <c r="M78" s="7"/>
      <c r="O78" s="7"/>
      <c r="Q78" s="7"/>
      <c r="R78" s="57"/>
      <c r="S78"/>
    </row>
    <row r="79" spans="1:19" s="4" customFormat="1" x14ac:dyDescent="0.25">
      <c r="A79" s="68"/>
      <c r="F79" s="7"/>
      <c r="K79" s="7"/>
      <c r="L79" s="7"/>
      <c r="M79" s="7"/>
      <c r="O79" s="7"/>
      <c r="Q79" s="7"/>
      <c r="R79" s="57"/>
      <c r="S79"/>
    </row>
    <row r="80" spans="1:19" s="4" customFormat="1" x14ac:dyDescent="0.25">
      <c r="A80" s="68"/>
      <c r="F80" s="7"/>
      <c r="K80" s="7"/>
      <c r="L80" s="7"/>
      <c r="M80" s="7"/>
      <c r="O80" s="7"/>
      <c r="Q80" s="7"/>
      <c r="R80" s="57"/>
      <c r="S80"/>
    </row>
    <row r="81" spans="1:19" s="4" customFormat="1" x14ac:dyDescent="0.25">
      <c r="A81" s="68"/>
      <c r="F81" s="7"/>
      <c r="K81" s="7"/>
      <c r="L81" s="7"/>
      <c r="M81" s="7"/>
      <c r="O81" s="7"/>
      <c r="Q81" s="7"/>
      <c r="R81" s="57"/>
      <c r="S81"/>
    </row>
    <row r="82" spans="1:19" s="4" customFormat="1" x14ac:dyDescent="0.25">
      <c r="A82" s="68"/>
      <c r="F82" s="7"/>
      <c r="K82" s="7"/>
      <c r="L82" s="7"/>
      <c r="M82" s="7"/>
      <c r="O82" s="7"/>
      <c r="Q82" s="7"/>
      <c r="R82" s="57"/>
      <c r="S82"/>
    </row>
    <row r="83" spans="1:19" s="4" customFormat="1" x14ac:dyDescent="0.25">
      <c r="A83" s="68"/>
      <c r="F83" s="7"/>
      <c r="K83" s="7"/>
      <c r="L83" s="7"/>
      <c r="M83" s="7"/>
      <c r="O83" s="7"/>
      <c r="Q83" s="7"/>
      <c r="R83" s="57"/>
      <c r="S83"/>
    </row>
    <row r="84" spans="1:19" s="4" customFormat="1" x14ac:dyDescent="0.25">
      <c r="A84" s="68"/>
      <c r="F84" s="7"/>
      <c r="K84" s="7"/>
      <c r="L84" s="7"/>
      <c r="M84" s="7"/>
      <c r="O84" s="7"/>
      <c r="Q84" s="7"/>
      <c r="R84" s="57"/>
      <c r="S84"/>
    </row>
    <row r="85" spans="1:19" s="4" customFormat="1" x14ac:dyDescent="0.25">
      <c r="A85" s="68"/>
      <c r="F85" s="7"/>
      <c r="K85" s="7"/>
      <c r="L85" s="7"/>
      <c r="M85" s="7"/>
      <c r="O85" s="7"/>
      <c r="Q85" s="7"/>
      <c r="R85" s="57"/>
      <c r="S85"/>
    </row>
    <row r="86" spans="1:19" s="4" customFormat="1" x14ac:dyDescent="0.25">
      <c r="A86" s="68"/>
      <c r="F86" s="7"/>
      <c r="K86" s="7"/>
      <c r="L86" s="7"/>
      <c r="M86" s="7"/>
      <c r="O86" s="7"/>
      <c r="Q86" s="7"/>
      <c r="R86" s="57"/>
      <c r="S86"/>
    </row>
    <row r="87" spans="1:19" s="4" customFormat="1" x14ac:dyDescent="0.25">
      <c r="A87" s="68"/>
      <c r="F87" s="7"/>
      <c r="K87" s="7"/>
      <c r="L87" s="7"/>
      <c r="M87" s="7"/>
      <c r="O87" s="7"/>
      <c r="Q87" s="7"/>
      <c r="R87" s="57"/>
      <c r="S87"/>
    </row>
    <row r="88" spans="1:19" s="4" customFormat="1" x14ac:dyDescent="0.25">
      <c r="A88" s="68"/>
      <c r="F88" s="7"/>
      <c r="K88" s="7"/>
      <c r="L88" s="7"/>
      <c r="M88" s="7"/>
      <c r="O88" s="7"/>
      <c r="Q88" s="7"/>
      <c r="R88" s="57"/>
      <c r="S88"/>
    </row>
    <row r="89" spans="1:19" s="4" customFormat="1" x14ac:dyDescent="0.25">
      <c r="A89" s="68"/>
      <c r="F89" s="7"/>
      <c r="K89" s="7"/>
      <c r="L89" s="7"/>
      <c r="M89" s="7"/>
      <c r="O89" s="7"/>
      <c r="Q89" s="7"/>
      <c r="R89" s="57"/>
      <c r="S89"/>
    </row>
    <row r="90" spans="1:19" s="4" customFormat="1" x14ac:dyDescent="0.25">
      <c r="A90" s="68"/>
      <c r="F90" s="7"/>
      <c r="K90" s="7"/>
      <c r="L90" s="7"/>
      <c r="M90" s="7"/>
      <c r="O90" s="7"/>
      <c r="Q90" s="7"/>
      <c r="R90" s="57"/>
      <c r="S90"/>
    </row>
    <row r="91" spans="1:19" s="4" customFormat="1" x14ac:dyDescent="0.25">
      <c r="A91" s="68"/>
      <c r="F91" s="7"/>
      <c r="K91" s="7"/>
      <c r="L91" s="7"/>
      <c r="M91" s="7"/>
      <c r="O91" s="7"/>
      <c r="Q91" s="7"/>
      <c r="R91" s="57"/>
      <c r="S91"/>
    </row>
    <row r="92" spans="1:19" s="4" customFormat="1" x14ac:dyDescent="0.25">
      <c r="A92" s="68"/>
      <c r="F92" s="7"/>
      <c r="K92" s="7"/>
      <c r="L92" s="7"/>
      <c r="M92" s="7"/>
      <c r="O92" s="7"/>
      <c r="Q92" s="7"/>
      <c r="R92" s="57"/>
      <c r="S92"/>
    </row>
    <row r="93" spans="1:19" s="4" customFormat="1" x14ac:dyDescent="0.25">
      <c r="A93" s="68"/>
      <c r="F93" s="7"/>
      <c r="K93" s="7"/>
      <c r="L93" s="7"/>
      <c r="M93" s="7"/>
      <c r="O93" s="7"/>
      <c r="Q93" s="7"/>
      <c r="R93" s="57"/>
      <c r="S93"/>
    </row>
    <row r="94" spans="1:19" s="4" customFormat="1" x14ac:dyDescent="0.25">
      <c r="A94" s="68"/>
      <c r="F94" s="7"/>
      <c r="K94" s="7"/>
      <c r="L94" s="7"/>
      <c r="M94" s="7"/>
      <c r="O94" s="7"/>
      <c r="Q94" s="7"/>
      <c r="R94" s="57"/>
      <c r="S94"/>
    </row>
    <row r="95" spans="1:19" s="4" customFormat="1" x14ac:dyDescent="0.25">
      <c r="A95" s="68"/>
      <c r="F95" s="7"/>
      <c r="K95" s="7"/>
      <c r="L95" s="7"/>
      <c r="M95" s="7"/>
      <c r="O95" s="7"/>
      <c r="Q95" s="7"/>
      <c r="R95" s="57"/>
      <c r="S95"/>
    </row>
    <row r="96" spans="1:19" s="4" customFormat="1" x14ac:dyDescent="0.25">
      <c r="A96" s="68"/>
      <c r="F96" s="7"/>
      <c r="K96" s="7"/>
      <c r="L96" s="7"/>
      <c r="M96" s="7"/>
      <c r="O96" s="7"/>
      <c r="Q96" s="7"/>
      <c r="R96" s="57"/>
      <c r="S96"/>
    </row>
    <row r="97" spans="1:19" s="4" customFormat="1" x14ac:dyDescent="0.25">
      <c r="A97" s="68"/>
      <c r="F97" s="7"/>
      <c r="K97" s="7"/>
      <c r="L97" s="7"/>
      <c r="M97" s="7"/>
      <c r="O97" s="7"/>
      <c r="Q97" s="7"/>
      <c r="R97" s="57"/>
      <c r="S97"/>
    </row>
    <row r="98" spans="1:19" s="4" customFormat="1" x14ac:dyDescent="0.25">
      <c r="A98" s="68"/>
      <c r="F98" s="7"/>
      <c r="K98" s="7"/>
      <c r="L98" s="7"/>
      <c r="M98" s="7"/>
      <c r="O98" s="7"/>
      <c r="Q98" s="7"/>
      <c r="R98" s="57"/>
      <c r="S98"/>
    </row>
    <row r="99" spans="1:19" s="4" customFormat="1" x14ac:dyDescent="0.25">
      <c r="A99" s="68"/>
      <c r="F99" s="7"/>
      <c r="K99" s="7"/>
      <c r="L99" s="7"/>
      <c r="M99" s="7"/>
      <c r="O99" s="7"/>
      <c r="Q99" s="7"/>
      <c r="R99" s="57"/>
      <c r="S99"/>
    </row>
    <row r="100" spans="1:19" s="4" customFormat="1" x14ac:dyDescent="0.25">
      <c r="A100" s="68"/>
      <c r="F100" s="7"/>
      <c r="K100" s="7"/>
      <c r="L100" s="7"/>
      <c r="M100" s="7"/>
      <c r="O100" s="7"/>
      <c r="Q100" s="7"/>
      <c r="R100" s="57"/>
      <c r="S100"/>
    </row>
    <row r="101" spans="1:19" s="4" customFormat="1" x14ac:dyDescent="0.25">
      <c r="A101" s="68"/>
      <c r="F101" s="7"/>
      <c r="K101" s="7"/>
      <c r="L101" s="7"/>
      <c r="M101" s="7"/>
      <c r="O101" s="7"/>
      <c r="Q101" s="7"/>
      <c r="R101" s="57"/>
      <c r="S101"/>
    </row>
    <row r="102" spans="1:19" s="4" customFormat="1" x14ac:dyDescent="0.25">
      <c r="A102" s="68"/>
      <c r="F102" s="7"/>
      <c r="K102" s="7"/>
      <c r="L102" s="7"/>
      <c r="M102" s="7"/>
      <c r="O102" s="7"/>
      <c r="Q102" s="7"/>
      <c r="R102" s="57"/>
      <c r="S102"/>
    </row>
    <row r="103" spans="1:19" s="4" customFormat="1" x14ac:dyDescent="0.25">
      <c r="A103" s="68"/>
      <c r="F103" s="7"/>
      <c r="K103" s="7"/>
      <c r="L103" s="7"/>
      <c r="M103" s="7"/>
      <c r="O103" s="7"/>
      <c r="Q103" s="7"/>
      <c r="R103" s="57"/>
      <c r="S103"/>
    </row>
    <row r="104" spans="1:19" s="4" customFormat="1" x14ac:dyDescent="0.25">
      <c r="A104" s="68"/>
      <c r="F104" s="7"/>
      <c r="K104" s="7"/>
      <c r="L104" s="7"/>
      <c r="M104" s="7"/>
      <c r="O104" s="7"/>
      <c r="Q104" s="7"/>
      <c r="R104" s="57"/>
      <c r="S104"/>
    </row>
    <row r="105" spans="1:19" s="4" customFormat="1" x14ac:dyDescent="0.25">
      <c r="A105" s="68"/>
      <c r="F105" s="7"/>
      <c r="K105" s="7"/>
      <c r="L105" s="7"/>
      <c r="M105" s="7"/>
      <c r="O105" s="7"/>
      <c r="Q105" s="7"/>
      <c r="R105" s="57"/>
      <c r="S105"/>
    </row>
    <row r="106" spans="1:19" s="4" customFormat="1" x14ac:dyDescent="0.25">
      <c r="A106" s="68"/>
      <c r="F106" s="7"/>
      <c r="K106" s="7"/>
      <c r="L106" s="7"/>
      <c r="M106" s="7"/>
      <c r="O106" s="7"/>
      <c r="Q106" s="7"/>
      <c r="R106" s="57"/>
      <c r="S106"/>
    </row>
    <row r="107" spans="1:19" s="4" customFormat="1" x14ac:dyDescent="0.25">
      <c r="A107" s="68"/>
      <c r="F107" s="7"/>
      <c r="K107" s="7"/>
      <c r="L107" s="7"/>
      <c r="M107" s="7"/>
      <c r="O107" s="7"/>
      <c r="Q107" s="7"/>
      <c r="R107" s="57"/>
      <c r="S107"/>
    </row>
    <row r="108" spans="1:19" s="4" customFormat="1" x14ac:dyDescent="0.25">
      <c r="A108" s="68"/>
      <c r="F108" s="7"/>
      <c r="K108" s="7"/>
      <c r="L108" s="7"/>
      <c r="M108" s="7"/>
      <c r="O108" s="7"/>
      <c r="Q108" s="7"/>
      <c r="R108" s="57"/>
      <c r="S108"/>
    </row>
    <row r="109" spans="1:19" s="4" customFormat="1" x14ac:dyDescent="0.25">
      <c r="A109" s="68"/>
      <c r="F109" s="7"/>
      <c r="K109" s="7"/>
      <c r="L109" s="7"/>
      <c r="M109" s="7"/>
      <c r="O109" s="7"/>
      <c r="Q109" s="7"/>
      <c r="R109" s="57"/>
      <c r="S109"/>
    </row>
    <row r="110" spans="1:19" s="4" customFormat="1" x14ac:dyDescent="0.25">
      <c r="A110" s="68"/>
      <c r="F110" s="7"/>
      <c r="K110" s="7"/>
      <c r="L110" s="7"/>
      <c r="M110" s="7"/>
      <c r="O110" s="7"/>
      <c r="Q110" s="7"/>
      <c r="R110" s="57"/>
      <c r="S110"/>
    </row>
    <row r="111" spans="1:19" s="4" customFormat="1" x14ac:dyDescent="0.25">
      <c r="A111" s="68"/>
      <c r="F111" s="7"/>
      <c r="K111" s="7"/>
      <c r="L111" s="7"/>
      <c r="M111" s="7"/>
      <c r="O111" s="7"/>
      <c r="Q111" s="7"/>
      <c r="R111" s="57"/>
      <c r="S111"/>
    </row>
    <row r="112" spans="1:19" s="4" customFormat="1" x14ac:dyDescent="0.25">
      <c r="A112" s="68"/>
      <c r="F112" s="7"/>
      <c r="K112" s="7"/>
      <c r="L112" s="7"/>
      <c r="M112" s="7"/>
      <c r="O112" s="7"/>
      <c r="Q112" s="7"/>
      <c r="R112" s="57"/>
      <c r="S112"/>
    </row>
    <row r="113" spans="1:19" s="4" customFormat="1" x14ac:dyDescent="0.25">
      <c r="A113" s="68"/>
      <c r="F113" s="7"/>
      <c r="K113" s="7"/>
      <c r="L113" s="7"/>
      <c r="M113" s="7"/>
      <c r="O113" s="7"/>
      <c r="Q113" s="7"/>
      <c r="R113" s="57"/>
      <c r="S113"/>
    </row>
    <row r="114" spans="1:19" s="4" customFormat="1" x14ac:dyDescent="0.25">
      <c r="A114" s="68"/>
      <c r="F114" s="7"/>
      <c r="K114" s="7"/>
      <c r="L114" s="7"/>
      <c r="M114" s="7"/>
      <c r="O114" s="7"/>
      <c r="Q114" s="7"/>
      <c r="R114" s="57"/>
      <c r="S114"/>
    </row>
    <row r="115" spans="1:19" s="4" customFormat="1" x14ac:dyDescent="0.25">
      <c r="A115" s="68"/>
      <c r="F115" s="7"/>
      <c r="K115" s="7"/>
      <c r="L115" s="7"/>
      <c r="M115" s="7"/>
      <c r="O115" s="7"/>
      <c r="Q115" s="7"/>
      <c r="R115" s="57"/>
      <c r="S115"/>
    </row>
    <row r="116" spans="1:19" s="4" customFormat="1" x14ac:dyDescent="0.25">
      <c r="A116" s="68"/>
      <c r="F116" s="7"/>
      <c r="K116" s="7"/>
      <c r="L116" s="7"/>
      <c r="M116" s="7"/>
      <c r="O116" s="7"/>
      <c r="Q116" s="7"/>
      <c r="R116" s="57"/>
      <c r="S116"/>
    </row>
    <row r="117" spans="1:19" s="4" customFormat="1" x14ac:dyDescent="0.25">
      <c r="A117" s="68"/>
      <c r="F117" s="7"/>
      <c r="K117" s="7"/>
      <c r="L117" s="7"/>
      <c r="M117" s="7"/>
      <c r="O117" s="7"/>
      <c r="Q117" s="7"/>
      <c r="R117" s="57"/>
      <c r="S117"/>
    </row>
    <row r="118" spans="1:19" s="4" customFormat="1" x14ac:dyDescent="0.25">
      <c r="A118" s="68"/>
      <c r="F118" s="7"/>
      <c r="K118" s="7"/>
      <c r="L118" s="7"/>
      <c r="M118" s="7"/>
      <c r="O118" s="7"/>
      <c r="Q118" s="7"/>
      <c r="R118" s="57"/>
      <c r="S118"/>
    </row>
    <row r="119" spans="1:19" s="4" customFormat="1" x14ac:dyDescent="0.25">
      <c r="A119" s="68"/>
      <c r="F119" s="7"/>
      <c r="K119" s="7"/>
      <c r="L119" s="7"/>
      <c r="M119" s="7"/>
      <c r="O119" s="7"/>
      <c r="Q119" s="7"/>
      <c r="R119" s="57"/>
      <c r="S119"/>
    </row>
    <row r="120" spans="1:19" s="4" customFormat="1" x14ac:dyDescent="0.25">
      <c r="A120" s="68"/>
      <c r="F120" s="7"/>
      <c r="K120" s="7"/>
      <c r="L120" s="7"/>
      <c r="M120" s="7"/>
      <c r="O120" s="7"/>
      <c r="Q120" s="7"/>
      <c r="R120" s="57"/>
      <c r="S120"/>
    </row>
    <row r="121" spans="1:19" s="4" customFormat="1" x14ac:dyDescent="0.25">
      <c r="A121" s="68"/>
      <c r="F121" s="7"/>
      <c r="K121" s="7"/>
      <c r="L121" s="7"/>
      <c r="M121" s="7"/>
      <c r="O121" s="7"/>
      <c r="Q121" s="7"/>
      <c r="R121" s="57"/>
      <c r="S121"/>
    </row>
    <row r="122" spans="1:19" s="4" customFormat="1" x14ac:dyDescent="0.25">
      <c r="A122" s="68"/>
      <c r="F122" s="7"/>
      <c r="K122" s="7"/>
      <c r="L122" s="7"/>
      <c r="M122" s="7"/>
      <c r="O122" s="7"/>
      <c r="Q122" s="7"/>
      <c r="R122" s="57"/>
      <c r="S122"/>
    </row>
    <row r="123" spans="1:19" s="4" customFormat="1" x14ac:dyDescent="0.25">
      <c r="A123" s="68"/>
      <c r="F123" s="7"/>
      <c r="K123" s="7"/>
      <c r="L123" s="7"/>
      <c r="M123" s="7"/>
      <c r="O123" s="7"/>
      <c r="Q123" s="7"/>
      <c r="R123" s="57"/>
      <c r="S123"/>
    </row>
    <row r="124" spans="1:19" s="4" customFormat="1" x14ac:dyDescent="0.25">
      <c r="A124" s="68"/>
      <c r="F124" s="7"/>
      <c r="K124" s="7"/>
      <c r="L124" s="7"/>
      <c r="M124" s="7"/>
      <c r="O124" s="7"/>
      <c r="Q124" s="7"/>
      <c r="R124" s="57"/>
      <c r="S124"/>
    </row>
    <row r="125" spans="1:19" s="4" customFormat="1" x14ac:dyDescent="0.25">
      <c r="A125" s="68"/>
      <c r="F125" s="7"/>
      <c r="K125" s="7"/>
      <c r="L125" s="7"/>
      <c r="M125" s="7"/>
      <c r="O125" s="7"/>
      <c r="Q125" s="7"/>
      <c r="R125" s="57"/>
      <c r="S125"/>
    </row>
  </sheetData>
  <mergeCells count="6">
    <mergeCell ref="R1:S16"/>
    <mergeCell ref="A1:A5"/>
    <mergeCell ref="B11:E15"/>
    <mergeCell ref="N10:N16"/>
    <mergeCell ref="G12:J18"/>
    <mergeCell ref="P10:P16"/>
  </mergeCells>
  <conditionalFormatting sqref="B2:E8">
    <cfRule type="expression" dxfId="114" priority="16">
      <formula>$D2&gt;$C2</formula>
    </cfRule>
  </conditionalFormatting>
  <conditionalFormatting sqref="G2:J8">
    <cfRule type="expression" dxfId="113" priority="15">
      <formula>$G$10=$J2</formula>
    </cfRule>
  </conditionalFormatting>
  <conditionalFormatting sqref="N2:N8"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{333713BA-9321-4AAC-BAAA-A51A8F30C2BE}</x14:id>
        </ext>
      </extLst>
    </cfRule>
  </conditionalFormatting>
  <conditionalFormatting sqref="P2:P8">
    <cfRule type="iconSet" priority="4">
      <iconSet iconSet="3Symbols2">
        <cfvo type="percent" val="0"/>
        <cfvo type="percent" val="33"/>
        <cfvo type="percent" val="67"/>
      </iconSet>
    </cfRule>
  </conditionalFormatting>
  <dataValidations disablePrompts="1" count="1">
    <dataValidation type="list" allowBlank="1" showInputMessage="1" showErrorMessage="1" sqref="G10" xr:uid="{00000000-0002-0000-0900-000000000000}">
      <formula1>$H$10:$J$10</formula1>
    </dataValidation>
  </dataValidations>
  <hyperlinks>
    <hyperlink ref="A1:A3" location="'__ANA SAYFA'!A1" display="ANA SAYFA" xr:uid="{00000000-0004-0000-0900-000000000000}"/>
  </hyperlinks>
  <pageMargins left="0.7" right="0.7" top="0.75" bottom="0.75" header="0.3" footer="0.3"/>
  <pageSetup paperSize="9" scale="9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3713BA-9321-4AAC-BAAA-A51A8F30C2B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N2:N8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11"/>
  <sheetViews>
    <sheetView workbookViewId="0">
      <selection activeCell="E6" sqref="E6"/>
    </sheetView>
  </sheetViews>
  <sheetFormatPr defaultColWidth="8.85546875" defaultRowHeight="34.15" customHeight="1" x14ac:dyDescent="0.55000000000000004"/>
  <cols>
    <col min="1" max="1" width="6.28515625" style="69" customWidth="1"/>
    <col min="2" max="2" width="28.42578125" style="1" customWidth="1"/>
    <col min="3" max="4" width="19.140625" style="1" customWidth="1"/>
    <col min="5" max="5" width="26.140625" style="1" customWidth="1"/>
    <col min="6" max="6" width="1.42578125" style="1" customWidth="1"/>
    <col min="7" max="7" width="35.28515625" style="38" customWidth="1"/>
    <col min="8" max="16384" width="8.85546875" style="1"/>
  </cols>
  <sheetData>
    <row r="1" spans="1:7" ht="34.15" customHeight="1" thickBot="1" x14ac:dyDescent="0.6">
      <c r="A1" s="834" t="s">
        <v>96</v>
      </c>
      <c r="B1" s="375" t="s">
        <v>392</v>
      </c>
      <c r="C1" s="375" t="s">
        <v>321</v>
      </c>
      <c r="D1" s="375" t="s">
        <v>322</v>
      </c>
      <c r="E1" s="375" t="s">
        <v>294</v>
      </c>
      <c r="F1" s="2"/>
      <c r="G1" s="1"/>
    </row>
    <row r="2" spans="1:7" ht="34.15" customHeight="1" thickBot="1" x14ac:dyDescent="0.6">
      <c r="A2" s="834"/>
      <c r="B2" s="443" t="s">
        <v>393</v>
      </c>
      <c r="C2" s="444">
        <v>210</v>
      </c>
      <c r="D2" s="444">
        <v>750</v>
      </c>
      <c r="E2" s="235" t="str">
        <f>IF(D2=750,"Prim var","Prim Yok")</f>
        <v>Prim var</v>
      </c>
      <c r="F2" s="2"/>
      <c r="G2" s="32" t="s">
        <v>620</v>
      </c>
    </row>
    <row r="3" spans="1:7" ht="34.15" customHeight="1" thickBot="1" x14ac:dyDescent="0.6">
      <c r="A3" s="834"/>
      <c r="B3" s="445" t="s">
        <v>394</v>
      </c>
      <c r="C3" s="446">
        <v>350</v>
      </c>
      <c r="D3" s="446">
        <v>349</v>
      </c>
      <c r="E3" s="442" t="str">
        <f>IF(D3&gt;C3,"Prim Var","--")</f>
        <v>--</v>
      </c>
      <c r="F3" s="28"/>
      <c r="G3" s="33" t="s">
        <v>621</v>
      </c>
    </row>
    <row r="4" spans="1:7" ht="34.15" customHeight="1" thickBot="1" x14ac:dyDescent="0.6">
      <c r="A4" s="834"/>
      <c r="B4" s="443" t="s">
        <v>395</v>
      </c>
      <c r="C4" s="444">
        <v>400</v>
      </c>
      <c r="D4" s="444">
        <v>500</v>
      </c>
      <c r="E4" s="235">
        <f>IF(C4&lt;D4,D4*0.1,0)</f>
        <v>50</v>
      </c>
      <c r="F4" s="30"/>
      <c r="G4" s="35" t="s">
        <v>622</v>
      </c>
    </row>
    <row r="5" spans="1:7" ht="34.15" customHeight="1" thickBot="1" x14ac:dyDescent="0.6">
      <c r="B5" s="445" t="s">
        <v>396</v>
      </c>
      <c r="C5" s="446">
        <v>750</v>
      </c>
      <c r="D5" s="446">
        <v>800</v>
      </c>
      <c r="E5" s="442">
        <f>IF(D5&lt;&gt;700,100,25)</f>
        <v>100</v>
      </c>
      <c r="F5" s="31"/>
      <c r="G5" s="36" t="s">
        <v>623</v>
      </c>
    </row>
    <row r="6" spans="1:7" ht="34.15" customHeight="1" thickBot="1" x14ac:dyDescent="0.6">
      <c r="B6" s="443" t="s">
        <v>397</v>
      </c>
      <c r="C6" s="444">
        <v>390</v>
      </c>
      <c r="D6" s="444">
        <v>441</v>
      </c>
      <c r="E6" s="235" t="str">
        <f>IF((D6-C6)&gt;50,"Prim var",0)</f>
        <v>Prim var</v>
      </c>
      <c r="F6" s="29"/>
      <c r="G6" s="34" t="s">
        <v>624</v>
      </c>
    </row>
    <row r="7" spans="1:7" ht="34.15" customHeight="1" x14ac:dyDescent="0.55000000000000004">
      <c r="D7" s="5"/>
      <c r="E7" s="3"/>
      <c r="G7" s="37"/>
    </row>
    <row r="9" spans="1:7" ht="34.15" customHeight="1" x14ac:dyDescent="0.55000000000000004">
      <c r="D9" s="5"/>
      <c r="E9" s="3"/>
      <c r="G9" s="37"/>
    </row>
    <row r="10" spans="1:7" ht="34.15" customHeight="1" x14ac:dyDescent="0.55000000000000004">
      <c r="D10" s="5"/>
      <c r="E10" s="3"/>
      <c r="G10" s="37"/>
    </row>
    <row r="11" spans="1:7" ht="34.15" customHeight="1" x14ac:dyDescent="0.55000000000000004">
      <c r="D11" s="5"/>
      <c r="E11" s="3"/>
      <c r="G11" s="37"/>
    </row>
  </sheetData>
  <mergeCells count="1">
    <mergeCell ref="A1:A4"/>
  </mergeCells>
  <hyperlinks>
    <hyperlink ref="A1:A3" location="'__ANA SAYFA'!A1" display="ANA SAYFA" xr:uid="{00000000-0004-0000-0A00-000000000000}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A64"/>
  <sheetViews>
    <sheetView zoomScale="75" zoomScaleNormal="75" workbookViewId="0">
      <selection activeCell="G9" sqref="G9:J10"/>
    </sheetView>
  </sheetViews>
  <sheetFormatPr defaultColWidth="9.140625" defaultRowHeight="15" x14ac:dyDescent="0.25"/>
  <cols>
    <col min="1" max="1" width="6.28515625" style="51" customWidth="1"/>
    <col min="2" max="2" width="44.5703125" style="2" customWidth="1"/>
    <col min="3" max="3" width="24.85546875" style="2" customWidth="1"/>
    <col min="4" max="4" width="32.5703125" style="2" customWidth="1"/>
    <col min="5" max="5" width="25.7109375" style="2" customWidth="1"/>
    <col min="6" max="6" width="1.7109375" style="2" customWidth="1"/>
    <col min="7" max="7" width="16.140625" style="2" customWidth="1"/>
    <col min="8" max="8" width="11.42578125" style="2" customWidth="1"/>
    <col min="9" max="9" width="13.85546875" style="2" customWidth="1"/>
    <col min="10" max="10" width="11.42578125" style="2" customWidth="1"/>
    <col min="11" max="11" width="1.7109375" style="2" customWidth="1"/>
    <col min="12" max="12" width="24.7109375" style="2" customWidth="1"/>
    <col min="13" max="13" width="1.7109375" style="2" customWidth="1"/>
    <col min="14" max="14" width="28.5703125" style="2" customWidth="1"/>
    <col min="15" max="15" width="13" style="2" customWidth="1"/>
    <col min="16" max="16" width="23.5703125" style="2" customWidth="1"/>
    <col min="17" max="17" width="33.85546875" style="2" customWidth="1"/>
    <col min="18" max="18" width="17.140625" style="2" customWidth="1"/>
    <col min="19" max="19" width="1.7109375" style="2" customWidth="1"/>
    <col min="20" max="20" width="16.140625" style="2" customWidth="1"/>
    <col min="21" max="21" width="11.42578125" style="2" customWidth="1"/>
    <col min="22" max="22" width="13.85546875" style="2" customWidth="1"/>
    <col min="23" max="23" width="8.28515625" style="2" customWidth="1"/>
    <col min="24" max="24" width="1.7109375" style="2" customWidth="1"/>
    <col min="25" max="25" width="24.140625" style="2" customWidth="1"/>
    <col min="26" max="26" width="1.7109375" style="2" customWidth="1"/>
    <col min="27" max="27" width="25.140625" style="2" customWidth="1"/>
    <col min="28" max="28" width="1.7109375" style="2" customWidth="1"/>
    <col min="29" max="16384" width="9.140625" style="2"/>
  </cols>
  <sheetData>
    <row r="1" spans="1:27" ht="31.15" customHeight="1" x14ac:dyDescent="0.25">
      <c r="A1" s="956" t="s">
        <v>96</v>
      </c>
      <c r="B1" s="375" t="s">
        <v>320</v>
      </c>
      <c r="C1" s="375" t="s">
        <v>325</v>
      </c>
      <c r="D1" s="375" t="s">
        <v>326</v>
      </c>
      <c r="E1" s="375" t="s">
        <v>327</v>
      </c>
      <c r="N1" s="960" t="s">
        <v>558</v>
      </c>
      <c r="P1" s="42"/>
      <c r="Q1" s="42"/>
      <c r="R1" s="42"/>
      <c r="AA1" s="41"/>
    </row>
    <row r="2" spans="1:27" s="39" customFormat="1" ht="28.9" customHeight="1" x14ac:dyDescent="0.25">
      <c r="A2" s="956"/>
      <c r="B2" s="566" t="s">
        <v>330</v>
      </c>
      <c r="C2" s="111" t="s">
        <v>311</v>
      </c>
      <c r="D2" s="112">
        <v>43282</v>
      </c>
      <c r="E2" s="567">
        <v>2500</v>
      </c>
      <c r="F2" s="2"/>
      <c r="G2" s="983" t="s">
        <v>328</v>
      </c>
      <c r="H2" s="984"/>
      <c r="I2" s="984"/>
      <c r="J2" s="985"/>
      <c r="L2" s="40" t="s">
        <v>329</v>
      </c>
      <c r="M2" s="2"/>
      <c r="N2" s="961"/>
      <c r="O2" s="42"/>
      <c r="P2" s="42"/>
      <c r="Q2" s="42"/>
      <c r="R2" s="42"/>
      <c r="AA2" s="41"/>
    </row>
    <row r="3" spans="1:27" s="39" customFormat="1" ht="28.9" customHeight="1" x14ac:dyDescent="0.25">
      <c r="A3" s="956"/>
      <c r="B3" s="568" t="s">
        <v>333</v>
      </c>
      <c r="C3" s="113" t="s">
        <v>311</v>
      </c>
      <c r="D3" s="626">
        <v>43132</v>
      </c>
      <c r="E3" s="567">
        <v>700</v>
      </c>
      <c r="F3" s="2"/>
      <c r="G3" s="986" t="s">
        <v>331</v>
      </c>
      <c r="H3" s="987"/>
      <c r="I3" s="987"/>
      <c r="J3" s="988"/>
      <c r="L3" s="447" t="s">
        <v>332</v>
      </c>
      <c r="N3" s="962"/>
      <c r="O3" s="42"/>
      <c r="P3" s="42"/>
      <c r="Q3" s="42"/>
      <c r="R3" s="42"/>
    </row>
    <row r="4" spans="1:27" s="39" customFormat="1" ht="28.9" customHeight="1" x14ac:dyDescent="0.25">
      <c r="A4" s="956"/>
      <c r="B4" s="569" t="s">
        <v>336</v>
      </c>
      <c r="C4" s="111" t="s">
        <v>337</v>
      </c>
      <c r="D4" s="112">
        <v>43282</v>
      </c>
      <c r="E4" s="567">
        <v>100</v>
      </c>
      <c r="F4" s="2"/>
      <c r="G4" s="989" t="s">
        <v>334</v>
      </c>
      <c r="H4" s="990"/>
      <c r="I4" s="990"/>
      <c r="J4" s="991"/>
      <c r="L4" s="40" t="s">
        <v>335</v>
      </c>
      <c r="N4" s="42"/>
      <c r="O4" s="42"/>
      <c r="P4" s="42"/>
      <c r="Q4" s="42"/>
      <c r="R4" s="42"/>
    </row>
    <row r="5" spans="1:27" s="39" customFormat="1" ht="28.9" customHeight="1" x14ac:dyDescent="0.25">
      <c r="A5" s="956"/>
      <c r="B5" s="568" t="s">
        <v>339</v>
      </c>
      <c r="C5" s="570" t="s">
        <v>340</v>
      </c>
      <c r="D5" s="112">
        <v>43283</v>
      </c>
      <c r="E5" s="567">
        <v>1300</v>
      </c>
      <c r="F5" s="2"/>
      <c r="G5" s="992" t="s">
        <v>657</v>
      </c>
      <c r="H5" s="993"/>
      <c r="I5" s="993"/>
      <c r="J5" s="994"/>
      <c r="L5" s="448" t="s">
        <v>338</v>
      </c>
      <c r="N5" s="107" t="s">
        <v>343</v>
      </c>
      <c r="O5" s="42"/>
      <c r="P5" s="42"/>
      <c r="Q5" s="42"/>
      <c r="R5" s="42"/>
    </row>
    <row r="6" spans="1:27" s="39" customFormat="1" ht="28.9" customHeight="1" x14ac:dyDescent="0.25">
      <c r="A6" s="956"/>
      <c r="B6" s="571" t="s">
        <v>342</v>
      </c>
      <c r="C6" s="113" t="s">
        <v>340</v>
      </c>
      <c r="D6" s="112">
        <v>43345</v>
      </c>
      <c r="E6" s="567">
        <v>150</v>
      </c>
      <c r="F6" s="2"/>
      <c r="G6" s="995"/>
      <c r="H6" s="996"/>
      <c r="I6" s="996"/>
      <c r="J6" s="997"/>
      <c r="L6" s="449" t="s">
        <v>341</v>
      </c>
      <c r="N6" s="234" t="s">
        <v>346</v>
      </c>
      <c r="O6" s="42"/>
      <c r="P6" s="42"/>
      <c r="Q6" s="42"/>
      <c r="R6" s="42"/>
    </row>
    <row r="7" spans="1:27" s="39" customFormat="1" ht="28.9" customHeight="1" x14ac:dyDescent="0.25">
      <c r="A7" s="51"/>
      <c r="B7" s="568" t="s">
        <v>345</v>
      </c>
      <c r="C7" s="111" t="s">
        <v>311</v>
      </c>
      <c r="D7" s="112">
        <v>43315</v>
      </c>
      <c r="E7" s="567">
        <v>250</v>
      </c>
      <c r="F7" s="2"/>
      <c r="G7" s="998" t="s">
        <v>767</v>
      </c>
      <c r="H7" s="999"/>
      <c r="I7" s="999"/>
      <c r="J7" s="1000"/>
      <c r="L7" s="43" t="s">
        <v>350</v>
      </c>
      <c r="N7" s="234" t="s">
        <v>349</v>
      </c>
      <c r="O7" s="42"/>
    </row>
    <row r="8" spans="1:27" s="39" customFormat="1" ht="28.9" customHeight="1" x14ac:dyDescent="0.25">
      <c r="A8" s="51"/>
      <c r="B8" s="572" t="s">
        <v>347</v>
      </c>
      <c r="C8" s="570" t="s">
        <v>348</v>
      </c>
      <c r="D8" s="112">
        <v>42919</v>
      </c>
      <c r="E8" s="567">
        <v>1200</v>
      </c>
      <c r="F8" s="2"/>
      <c r="G8" s="1001"/>
      <c r="H8" s="1002"/>
      <c r="I8" s="1002"/>
      <c r="J8" s="1003"/>
      <c r="L8" s="44" t="s">
        <v>352</v>
      </c>
      <c r="N8" s="234" t="s">
        <v>351</v>
      </c>
      <c r="O8" s="42"/>
    </row>
    <row r="9" spans="1:27" s="39" customFormat="1" ht="28.9" customHeight="1" x14ac:dyDescent="0.25">
      <c r="A9" s="51"/>
      <c r="B9" s="573" t="s">
        <v>336</v>
      </c>
      <c r="C9" s="111" t="s">
        <v>340</v>
      </c>
      <c r="D9" s="112">
        <v>42615</v>
      </c>
      <c r="E9" s="567">
        <v>290</v>
      </c>
      <c r="F9" s="2"/>
      <c r="G9" s="1004" t="s">
        <v>805</v>
      </c>
      <c r="H9" s="1005"/>
      <c r="I9" s="1005"/>
      <c r="J9" s="1006"/>
      <c r="L9" s="448" t="s">
        <v>332</v>
      </c>
      <c r="N9" s="234" t="s">
        <v>354</v>
      </c>
      <c r="O9" s="42"/>
      <c r="P9" s="42"/>
      <c r="Q9" s="42"/>
      <c r="R9" s="42"/>
    </row>
    <row r="10" spans="1:27" s="39" customFormat="1" ht="28.9" customHeight="1" x14ac:dyDescent="0.25">
      <c r="A10" s="51"/>
      <c r="B10" s="568" t="s">
        <v>353</v>
      </c>
      <c r="C10" s="570" t="s">
        <v>311</v>
      </c>
      <c r="D10" s="112">
        <v>43377</v>
      </c>
      <c r="E10" s="567">
        <v>1900</v>
      </c>
      <c r="F10" s="2"/>
      <c r="G10" s="1007"/>
      <c r="H10" s="1008"/>
      <c r="I10" s="1008"/>
      <c r="J10" s="1009"/>
      <c r="L10" s="449" t="s">
        <v>329</v>
      </c>
      <c r="N10" s="234" t="s">
        <v>357</v>
      </c>
      <c r="O10" s="42"/>
      <c r="P10" s="42"/>
      <c r="Q10" s="42"/>
      <c r="R10" s="42"/>
    </row>
    <row r="11" spans="1:27" s="39" customFormat="1" ht="28.9" customHeight="1" x14ac:dyDescent="0.25">
      <c r="A11" s="51"/>
      <c r="B11" s="574" t="s">
        <v>355</v>
      </c>
      <c r="C11" s="113" t="s">
        <v>356</v>
      </c>
      <c r="D11" s="575">
        <v>43285</v>
      </c>
      <c r="E11" s="567">
        <v>340</v>
      </c>
      <c r="F11" s="2"/>
      <c r="G11" s="989" t="s">
        <v>791</v>
      </c>
      <c r="H11" s="990"/>
      <c r="I11" s="990"/>
      <c r="J11" s="991"/>
      <c r="L11" s="40" t="s">
        <v>344</v>
      </c>
      <c r="N11" s="971" t="s">
        <v>617</v>
      </c>
      <c r="O11" s="42"/>
      <c r="P11" s="42"/>
      <c r="Q11" s="42"/>
      <c r="R11" s="42"/>
    </row>
    <row r="12" spans="1:27" ht="29.1" customHeight="1" x14ac:dyDescent="0.25">
      <c r="G12" s="986" t="s">
        <v>792</v>
      </c>
      <c r="H12" s="987"/>
      <c r="I12" s="987"/>
      <c r="J12" s="988"/>
      <c r="K12" s="39"/>
      <c r="L12" s="447" t="s">
        <v>344</v>
      </c>
      <c r="M12" s="39"/>
      <c r="N12" s="972"/>
      <c r="O12" s="42"/>
    </row>
    <row r="13" spans="1:27" ht="21" customHeight="1" x14ac:dyDescent="0.25">
      <c r="B13" s="965" t="s">
        <v>652</v>
      </c>
      <c r="C13" s="966"/>
      <c r="D13" s="967"/>
      <c r="E13" s="963" t="s">
        <v>559</v>
      </c>
    </row>
    <row r="14" spans="1:27" ht="21" customHeight="1" x14ac:dyDescent="0.25">
      <c r="B14" s="968"/>
      <c r="C14" s="969"/>
      <c r="D14" s="970"/>
      <c r="E14" s="964"/>
      <c r="G14" s="973" t="s">
        <v>533</v>
      </c>
      <c r="H14" s="974"/>
      <c r="I14" s="974"/>
      <c r="J14" s="975"/>
      <c r="L14" s="973" t="s">
        <v>616</v>
      </c>
      <c r="M14" s="974"/>
      <c r="N14" s="975"/>
    </row>
    <row r="15" spans="1:27" ht="21" customHeight="1" x14ac:dyDescent="0.25">
      <c r="B15" s="965" t="s">
        <v>653</v>
      </c>
      <c r="C15" s="966"/>
      <c r="D15" s="967"/>
      <c r="E15" s="963" t="s">
        <v>560</v>
      </c>
      <c r="G15" s="976"/>
      <c r="H15" s="977"/>
      <c r="I15" s="977"/>
      <c r="J15" s="978"/>
      <c r="L15" s="976"/>
      <c r="M15" s="977"/>
      <c r="N15" s="978"/>
    </row>
    <row r="16" spans="1:27" ht="21" customHeight="1" x14ac:dyDescent="0.25">
      <c r="B16" s="968"/>
      <c r="C16" s="969"/>
      <c r="D16" s="970"/>
      <c r="E16" s="964"/>
      <c r="G16" s="976"/>
      <c r="H16" s="977"/>
      <c r="I16" s="977"/>
      <c r="J16" s="978"/>
      <c r="L16" s="976"/>
      <c r="M16" s="977"/>
      <c r="N16" s="978"/>
    </row>
    <row r="17" spans="2:14" ht="21" customHeight="1" x14ac:dyDescent="0.25">
      <c r="B17" s="965" t="s">
        <v>654</v>
      </c>
      <c r="C17" s="966"/>
      <c r="D17" s="967"/>
      <c r="E17" s="963" t="s">
        <v>561</v>
      </c>
      <c r="G17" s="976"/>
      <c r="H17" s="977"/>
      <c r="I17" s="977"/>
      <c r="J17" s="978"/>
      <c r="L17" s="976"/>
      <c r="M17" s="977"/>
      <c r="N17" s="978"/>
    </row>
    <row r="18" spans="2:14" ht="21" customHeight="1" x14ac:dyDescent="0.25">
      <c r="B18" s="968"/>
      <c r="C18" s="969"/>
      <c r="D18" s="970"/>
      <c r="E18" s="964"/>
      <c r="G18" s="976"/>
      <c r="H18" s="977"/>
      <c r="I18" s="977"/>
      <c r="J18" s="978"/>
      <c r="L18" s="976"/>
      <c r="M18" s="977"/>
      <c r="N18" s="978"/>
    </row>
    <row r="19" spans="2:14" ht="21" customHeight="1" x14ac:dyDescent="0.25">
      <c r="B19" s="965" t="s">
        <v>655</v>
      </c>
      <c r="C19" s="966"/>
      <c r="D19" s="967"/>
      <c r="E19" s="982" t="s">
        <v>656</v>
      </c>
      <c r="G19" s="979"/>
      <c r="H19" s="980"/>
      <c r="I19" s="980"/>
      <c r="J19" s="981"/>
      <c r="L19" s="979"/>
      <c r="M19" s="980"/>
      <c r="N19" s="981"/>
    </row>
    <row r="20" spans="2:14" ht="21" customHeight="1" x14ac:dyDescent="0.25">
      <c r="B20" s="968"/>
      <c r="C20" s="969"/>
      <c r="D20" s="970"/>
      <c r="E20" s="964"/>
    </row>
    <row r="21" spans="2:14" ht="24" customHeight="1" x14ac:dyDescent="0.25">
      <c r="B21" s="58"/>
    </row>
    <row r="22" spans="2:14" ht="24" customHeight="1" x14ac:dyDescent="0.25">
      <c r="B22" s="58"/>
    </row>
    <row r="23" spans="2:14" ht="23.25" x14ac:dyDescent="0.25">
      <c r="B23" s="58"/>
    </row>
    <row r="24" spans="2:14" ht="23.25" x14ac:dyDescent="0.25">
      <c r="B24" s="58"/>
    </row>
    <row r="25" spans="2:14" ht="23.25" x14ac:dyDescent="0.25">
      <c r="B25" s="58"/>
    </row>
    <row r="26" spans="2:14" ht="23.25" x14ac:dyDescent="0.25">
      <c r="B26" s="58"/>
    </row>
    <row r="27" spans="2:14" ht="23.25" x14ac:dyDescent="0.25">
      <c r="B27" s="58"/>
    </row>
    <row r="28" spans="2:14" ht="23.25" x14ac:dyDescent="0.25">
      <c r="B28" s="58"/>
    </row>
    <row r="29" spans="2:14" ht="23.25" x14ac:dyDescent="0.25">
      <c r="B29" s="58"/>
    </row>
    <row r="30" spans="2:14" ht="23.25" x14ac:dyDescent="0.25">
      <c r="B30" s="58"/>
    </row>
    <row r="31" spans="2:14" ht="23.25" x14ac:dyDescent="0.25">
      <c r="B31" s="58"/>
    </row>
    <row r="32" spans="2:14" ht="23.25" x14ac:dyDescent="0.25">
      <c r="B32" s="58"/>
    </row>
    <row r="33" spans="2:2" ht="23.25" x14ac:dyDescent="0.25">
      <c r="B33" s="58"/>
    </row>
    <row r="34" spans="2:2" ht="23.25" x14ac:dyDescent="0.25">
      <c r="B34" s="58"/>
    </row>
    <row r="35" spans="2:2" ht="23.25" x14ac:dyDescent="0.25">
      <c r="B35" s="58"/>
    </row>
    <row r="36" spans="2:2" ht="23.25" x14ac:dyDescent="0.25">
      <c r="B36" s="58"/>
    </row>
    <row r="37" spans="2:2" ht="23.25" x14ac:dyDescent="0.25">
      <c r="B37" s="58"/>
    </row>
    <row r="38" spans="2:2" ht="23.25" x14ac:dyDescent="0.25">
      <c r="B38" s="58"/>
    </row>
    <row r="39" spans="2:2" ht="23.25" x14ac:dyDescent="0.25">
      <c r="B39" s="58"/>
    </row>
    <row r="40" spans="2:2" ht="23.25" x14ac:dyDescent="0.25">
      <c r="B40" s="58"/>
    </row>
    <row r="41" spans="2:2" ht="23.25" x14ac:dyDescent="0.25">
      <c r="B41" s="58"/>
    </row>
    <row r="42" spans="2:2" ht="23.25" x14ac:dyDescent="0.25">
      <c r="B42" s="58"/>
    </row>
    <row r="43" spans="2:2" ht="23.25" x14ac:dyDescent="0.25">
      <c r="B43" s="58"/>
    </row>
    <row r="44" spans="2:2" ht="23.25" x14ac:dyDescent="0.25">
      <c r="B44" s="58"/>
    </row>
    <row r="45" spans="2:2" ht="23.25" x14ac:dyDescent="0.25">
      <c r="B45" s="58"/>
    </row>
    <row r="46" spans="2:2" ht="23.25" x14ac:dyDescent="0.25">
      <c r="B46" s="58"/>
    </row>
    <row r="47" spans="2:2" ht="23.25" x14ac:dyDescent="0.25">
      <c r="B47" s="58"/>
    </row>
    <row r="48" spans="2:2" ht="23.25" x14ac:dyDescent="0.25">
      <c r="B48" s="58"/>
    </row>
    <row r="49" spans="2:2" ht="23.25" x14ac:dyDescent="0.25">
      <c r="B49" s="58"/>
    </row>
    <row r="50" spans="2:2" ht="23.25" x14ac:dyDescent="0.25">
      <c r="B50" s="58"/>
    </row>
    <row r="51" spans="2:2" ht="23.25" x14ac:dyDescent="0.25">
      <c r="B51" s="58"/>
    </row>
    <row r="52" spans="2:2" ht="23.25" x14ac:dyDescent="0.25">
      <c r="B52" s="58"/>
    </row>
    <row r="53" spans="2:2" ht="23.25" x14ac:dyDescent="0.25">
      <c r="B53" s="58"/>
    </row>
    <row r="54" spans="2:2" ht="23.25" x14ac:dyDescent="0.25">
      <c r="B54" s="58"/>
    </row>
    <row r="55" spans="2:2" ht="23.25" x14ac:dyDescent="0.25">
      <c r="B55" s="58"/>
    </row>
    <row r="56" spans="2:2" ht="23.25" x14ac:dyDescent="0.25">
      <c r="B56" s="58"/>
    </row>
    <row r="57" spans="2:2" ht="23.25" x14ac:dyDescent="0.25">
      <c r="B57" s="58"/>
    </row>
    <row r="58" spans="2:2" ht="23.25" x14ac:dyDescent="0.25">
      <c r="B58" s="58"/>
    </row>
    <row r="59" spans="2:2" ht="23.25" x14ac:dyDescent="0.25">
      <c r="B59" s="58"/>
    </row>
    <row r="60" spans="2:2" ht="23.25" x14ac:dyDescent="0.25">
      <c r="B60" s="58"/>
    </row>
    <row r="61" spans="2:2" ht="23.25" x14ac:dyDescent="0.25">
      <c r="B61" s="58"/>
    </row>
    <row r="62" spans="2:2" ht="23.25" x14ac:dyDescent="0.25">
      <c r="B62" s="58"/>
    </row>
    <row r="63" spans="2:2" ht="23.25" x14ac:dyDescent="0.25">
      <c r="B63" s="58"/>
    </row>
    <row r="64" spans="2:2" ht="23.25" x14ac:dyDescent="0.25">
      <c r="B64" s="58"/>
    </row>
  </sheetData>
  <autoFilter ref="B1:E11" xr:uid="{00000000-0009-0000-0000-00000B000000}"/>
  <mergeCells count="21">
    <mergeCell ref="A1:A6"/>
    <mergeCell ref="L14:N19"/>
    <mergeCell ref="B19:D20"/>
    <mergeCell ref="E19:E20"/>
    <mergeCell ref="G2:J2"/>
    <mergeCell ref="G3:J3"/>
    <mergeCell ref="G4:J4"/>
    <mergeCell ref="G5:J6"/>
    <mergeCell ref="G11:J11"/>
    <mergeCell ref="G12:J12"/>
    <mergeCell ref="G7:J8"/>
    <mergeCell ref="G9:J10"/>
    <mergeCell ref="G14:J19"/>
    <mergeCell ref="B17:D18"/>
    <mergeCell ref="B13:D14"/>
    <mergeCell ref="E13:E14"/>
    <mergeCell ref="N1:N3"/>
    <mergeCell ref="E15:E16"/>
    <mergeCell ref="B15:D16"/>
    <mergeCell ref="E17:E18"/>
    <mergeCell ref="N11:N12"/>
  </mergeCells>
  <conditionalFormatting sqref="D2:D11">
    <cfRule type="expression" dxfId="112" priority="3">
      <formula>MONTH($D2)=9</formula>
    </cfRule>
  </conditionalFormatting>
  <hyperlinks>
    <hyperlink ref="A1:A3" location="'__ANA SAYFA'!A1" display="ANA SAYFA" xr:uid="{00000000-0004-0000-0B00-000000000000}"/>
  </hyperlink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8AFE0BB0-2EFD-4A5D-9862-2DF99546244F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E2:E11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A66"/>
  <sheetViews>
    <sheetView zoomScale="75" zoomScaleNormal="75" workbookViewId="0">
      <selection activeCell="F1" sqref="F1"/>
    </sheetView>
  </sheetViews>
  <sheetFormatPr defaultColWidth="9.140625" defaultRowHeight="15" x14ac:dyDescent="0.25"/>
  <cols>
    <col min="1" max="1" width="6.28515625" style="51" customWidth="1"/>
    <col min="2" max="2" width="38.85546875" style="2" customWidth="1"/>
    <col min="3" max="3" width="24.85546875" style="2" customWidth="1"/>
    <col min="4" max="4" width="29.5703125" style="2" customWidth="1"/>
    <col min="5" max="5" width="20" style="2" customWidth="1"/>
    <col min="6" max="6" width="4.28515625" style="2" customWidth="1"/>
    <col min="7" max="7" width="21.28515625" style="2" customWidth="1"/>
    <col min="8" max="11" width="16.85546875" style="2" customWidth="1"/>
    <col min="12" max="13" width="1.7109375" style="2" customWidth="1"/>
    <col min="14" max="14" width="29" style="2" customWidth="1"/>
    <col min="15" max="15" width="6.7109375" style="2" customWidth="1"/>
    <col min="16" max="16" width="23.5703125" style="2" customWidth="1"/>
    <col min="17" max="17" width="33.85546875" style="2" customWidth="1"/>
    <col min="18" max="18" width="17.140625" style="2" customWidth="1"/>
    <col min="19" max="19" width="1.7109375" style="2" customWidth="1"/>
    <col min="20" max="20" width="16.140625" style="2" customWidth="1"/>
    <col min="21" max="21" width="11.42578125" style="2" customWidth="1"/>
    <col min="22" max="22" width="13.85546875" style="2" customWidth="1"/>
    <col min="23" max="23" width="8.28515625" style="2" customWidth="1"/>
    <col min="24" max="24" width="1.7109375" style="2" customWidth="1"/>
    <col min="25" max="25" width="24.140625" style="2" customWidth="1"/>
    <col min="26" max="26" width="1.7109375" style="2" customWidth="1"/>
    <col min="27" max="27" width="25.140625" style="2" customWidth="1"/>
    <col min="28" max="28" width="1.7109375" style="2" customWidth="1"/>
    <col min="29" max="16384" width="9.140625" style="2"/>
  </cols>
  <sheetData>
    <row r="1" spans="1:27" ht="27" customHeight="1" x14ac:dyDescent="0.25">
      <c r="A1" s="1010" t="s">
        <v>96</v>
      </c>
      <c r="B1" s="1029" t="s">
        <v>636</v>
      </c>
      <c r="C1" s="1030"/>
      <c r="D1" s="1030"/>
      <c r="E1" s="1031"/>
      <c r="G1" s="1029" t="s">
        <v>553</v>
      </c>
      <c r="H1" s="1030"/>
      <c r="I1" s="1030"/>
      <c r="J1" s="1030"/>
      <c r="K1" s="1031"/>
      <c r="N1" s="1056" t="s">
        <v>550</v>
      </c>
      <c r="P1" s="42"/>
      <c r="Q1" s="42"/>
      <c r="R1" s="42"/>
      <c r="AA1" s="41"/>
    </row>
    <row r="2" spans="1:27" s="39" customFormat="1" ht="27" customHeight="1" thickBot="1" x14ac:dyDescent="0.3">
      <c r="A2" s="1010"/>
      <c r="B2" s="1058"/>
      <c r="C2" s="1059"/>
      <c r="D2" s="1059"/>
      <c r="E2" s="1060"/>
      <c r="G2" s="1032"/>
      <c r="H2" s="1033"/>
      <c r="I2" s="1033"/>
      <c r="J2" s="1033"/>
      <c r="K2" s="1034"/>
      <c r="L2" s="42"/>
      <c r="M2" s="42"/>
      <c r="N2" s="1057"/>
      <c r="O2" s="2"/>
      <c r="P2" s="42"/>
      <c r="Q2" s="42"/>
      <c r="R2" s="42"/>
      <c r="AA2" s="41"/>
    </row>
    <row r="3" spans="1:27" s="39" customFormat="1" ht="27" customHeight="1" thickTop="1" thickBot="1" x14ac:dyDescent="0.3">
      <c r="A3" s="1010"/>
      <c r="B3" s="376" t="s">
        <v>320</v>
      </c>
      <c r="C3" s="377" t="s">
        <v>499</v>
      </c>
      <c r="D3" s="377" t="s">
        <v>326</v>
      </c>
      <c r="E3" s="378" t="s">
        <v>327</v>
      </c>
      <c r="H3" s="247" t="s">
        <v>638</v>
      </c>
      <c r="I3" s="247" t="s">
        <v>640</v>
      </c>
      <c r="J3" s="247" t="s">
        <v>637</v>
      </c>
      <c r="K3" s="247" t="s">
        <v>639</v>
      </c>
      <c r="N3" s="234" t="s">
        <v>346</v>
      </c>
      <c r="P3" s="42"/>
      <c r="Q3" s="42"/>
      <c r="R3" s="42"/>
    </row>
    <row r="4" spans="1:27" s="39" customFormat="1" ht="27" customHeight="1" thickTop="1" x14ac:dyDescent="0.25">
      <c r="A4" s="1010"/>
      <c r="B4" s="240" t="s">
        <v>545</v>
      </c>
      <c r="C4" s="114" t="s">
        <v>542</v>
      </c>
      <c r="D4" s="112">
        <v>42552</v>
      </c>
      <c r="E4" s="241">
        <v>400</v>
      </c>
      <c r="G4" s="379" t="s">
        <v>641</v>
      </c>
      <c r="H4" s="376">
        <v>2019</v>
      </c>
      <c r="I4" s="377">
        <v>2020</v>
      </c>
      <c r="J4" s="377">
        <v>2018</v>
      </c>
      <c r="K4" s="378">
        <v>2017</v>
      </c>
      <c r="N4" s="234" t="s">
        <v>349</v>
      </c>
      <c r="P4" s="42"/>
      <c r="Q4" s="42"/>
      <c r="R4" s="42"/>
    </row>
    <row r="5" spans="1:27" s="39" customFormat="1" ht="27" customHeight="1" x14ac:dyDescent="0.25">
      <c r="A5" s="1010"/>
      <c r="B5" s="242" t="s">
        <v>534</v>
      </c>
      <c r="C5" s="111" t="s">
        <v>539</v>
      </c>
      <c r="D5" s="112">
        <v>43282</v>
      </c>
      <c r="E5" s="241">
        <v>3100</v>
      </c>
      <c r="F5" s="2"/>
      <c r="G5" s="502" t="s">
        <v>308</v>
      </c>
      <c r="H5" s="503">
        <v>4000</v>
      </c>
      <c r="I5" s="504">
        <v>7000</v>
      </c>
      <c r="J5" s="504">
        <v>6000</v>
      </c>
      <c r="K5" s="505">
        <v>3600</v>
      </c>
      <c r="N5" s="234" t="s">
        <v>351</v>
      </c>
      <c r="P5" s="42"/>
      <c r="Q5" s="42"/>
      <c r="R5" s="42"/>
    </row>
    <row r="6" spans="1:27" s="39" customFormat="1" ht="27" customHeight="1" x14ac:dyDescent="0.25">
      <c r="A6" s="1010"/>
      <c r="B6" s="240" t="s">
        <v>535</v>
      </c>
      <c r="C6" s="113" t="s">
        <v>540</v>
      </c>
      <c r="D6" s="112">
        <v>42552</v>
      </c>
      <c r="E6" s="241">
        <v>700</v>
      </c>
      <c r="G6" s="506" t="s">
        <v>643</v>
      </c>
      <c r="H6" s="507">
        <v>500</v>
      </c>
      <c r="I6" s="508">
        <v>1200</v>
      </c>
      <c r="J6" s="508">
        <v>500</v>
      </c>
      <c r="K6" s="509">
        <v>300</v>
      </c>
      <c r="N6" s="234" t="s">
        <v>354</v>
      </c>
      <c r="P6" s="42"/>
      <c r="Q6" s="42"/>
      <c r="R6" s="42"/>
    </row>
    <row r="7" spans="1:27" s="39" customFormat="1" ht="27" customHeight="1" x14ac:dyDescent="0.25">
      <c r="A7" s="51"/>
      <c r="B7" s="242" t="s">
        <v>770</v>
      </c>
      <c r="C7" s="111" t="s">
        <v>539</v>
      </c>
      <c r="D7" s="112">
        <v>42917</v>
      </c>
      <c r="E7" s="241">
        <v>2500</v>
      </c>
      <c r="G7" s="502" t="s">
        <v>644</v>
      </c>
      <c r="H7" s="503">
        <f>+H5-H6</f>
        <v>3500</v>
      </c>
      <c r="I7" s="504">
        <f t="shared" ref="I7:K7" si="0">+I5-I6</f>
        <v>5800</v>
      </c>
      <c r="J7" s="504">
        <f t="shared" si="0"/>
        <v>5500</v>
      </c>
      <c r="K7" s="505">
        <f t="shared" si="0"/>
        <v>3300</v>
      </c>
      <c r="N7" s="234" t="s">
        <v>357</v>
      </c>
      <c r="P7" s="42"/>
      <c r="Q7" s="42"/>
      <c r="R7" s="42"/>
    </row>
    <row r="8" spans="1:27" s="39" customFormat="1" ht="27" customHeight="1" x14ac:dyDescent="0.25">
      <c r="A8" s="51"/>
      <c r="B8" s="240" t="s">
        <v>543</v>
      </c>
      <c r="C8" s="114" t="s">
        <v>542</v>
      </c>
      <c r="D8" s="112">
        <v>42552</v>
      </c>
      <c r="E8" s="241">
        <v>300</v>
      </c>
      <c r="G8" s="506" t="s">
        <v>642</v>
      </c>
      <c r="H8" s="507">
        <v>3200</v>
      </c>
      <c r="I8" s="508">
        <v>4900</v>
      </c>
      <c r="J8" s="508">
        <v>4400</v>
      </c>
      <c r="K8" s="509">
        <v>2700</v>
      </c>
      <c r="N8" s="971" t="s">
        <v>593</v>
      </c>
      <c r="P8" s="42"/>
      <c r="Q8" s="42"/>
      <c r="R8" s="42"/>
    </row>
    <row r="9" spans="1:27" s="39" customFormat="1" ht="27" customHeight="1" thickBot="1" x14ac:dyDescent="0.3">
      <c r="A9" s="51"/>
      <c r="B9" s="242" t="s">
        <v>541</v>
      </c>
      <c r="C9" s="114" t="s">
        <v>542</v>
      </c>
      <c r="D9" s="112">
        <v>42917</v>
      </c>
      <c r="E9" s="241">
        <v>200</v>
      </c>
      <c r="G9" s="502" t="s">
        <v>645</v>
      </c>
      <c r="H9" s="510">
        <f>+H7-H8</f>
        <v>300</v>
      </c>
      <c r="I9" s="511">
        <f t="shared" ref="I9:K9" si="1">+I7-I8</f>
        <v>900</v>
      </c>
      <c r="J9" s="511">
        <f t="shared" si="1"/>
        <v>1100</v>
      </c>
      <c r="K9" s="512">
        <f t="shared" si="1"/>
        <v>600</v>
      </c>
      <c r="N9" s="972"/>
      <c r="P9" s="42"/>
      <c r="Q9" s="42"/>
      <c r="R9" s="42"/>
    </row>
    <row r="10" spans="1:27" s="39" customFormat="1" ht="27" customHeight="1" thickTop="1" x14ac:dyDescent="0.25">
      <c r="A10" s="51"/>
      <c r="B10" s="311" t="s">
        <v>536</v>
      </c>
      <c r="C10" s="111" t="s">
        <v>539</v>
      </c>
      <c r="D10" s="112">
        <v>43282</v>
      </c>
      <c r="E10" s="241">
        <v>600</v>
      </c>
      <c r="G10" s="2"/>
      <c r="H10" s="2"/>
      <c r="I10" s="2"/>
      <c r="J10" s="2"/>
      <c r="K10" s="2"/>
      <c r="P10" s="42"/>
      <c r="Q10" s="42"/>
      <c r="R10" s="42"/>
    </row>
    <row r="11" spans="1:27" s="39" customFormat="1" ht="27" customHeight="1" x14ac:dyDescent="0.25">
      <c r="A11" s="51"/>
      <c r="B11" s="310" t="s">
        <v>537</v>
      </c>
      <c r="C11" s="113" t="s">
        <v>540</v>
      </c>
      <c r="D11" s="112">
        <v>42552</v>
      </c>
      <c r="E11" s="241">
        <v>150</v>
      </c>
      <c r="G11" s="1038" t="s">
        <v>768</v>
      </c>
      <c r="H11" s="1039"/>
      <c r="I11" s="1039"/>
      <c r="J11" s="1039"/>
      <c r="K11" s="1040"/>
      <c r="P11" s="42"/>
      <c r="Q11" s="42"/>
      <c r="R11" s="42"/>
    </row>
    <row r="12" spans="1:27" ht="27" customHeight="1" x14ac:dyDescent="0.25">
      <c r="B12" s="240" t="s">
        <v>538</v>
      </c>
      <c r="C12" s="111" t="s">
        <v>539</v>
      </c>
      <c r="D12" s="112">
        <v>42917</v>
      </c>
      <c r="E12" s="241">
        <v>1500</v>
      </c>
      <c r="G12" s="1041"/>
      <c r="H12" s="1042"/>
      <c r="I12" s="1042"/>
      <c r="J12" s="1042"/>
      <c r="K12" s="1043"/>
      <c r="L12" s="39"/>
      <c r="M12" s="39"/>
      <c r="O12" s="39"/>
    </row>
    <row r="13" spans="1:27" ht="27" customHeight="1" thickBot="1" x14ac:dyDescent="0.3">
      <c r="B13" s="243" t="s">
        <v>544</v>
      </c>
      <c r="C13" s="244" t="s">
        <v>542</v>
      </c>
      <c r="D13" s="245">
        <v>43282</v>
      </c>
      <c r="E13" s="246">
        <v>1700</v>
      </c>
      <c r="G13" s="1041"/>
      <c r="H13" s="1042"/>
      <c r="I13" s="1042"/>
      <c r="J13" s="1042"/>
      <c r="K13" s="1043"/>
    </row>
    <row r="14" spans="1:27" ht="27" customHeight="1" thickTop="1" x14ac:dyDescent="0.25">
      <c r="E14" s="59"/>
      <c r="G14" s="1044"/>
      <c r="H14" s="1045"/>
      <c r="I14" s="1045"/>
      <c r="J14" s="1045"/>
      <c r="K14" s="1046"/>
    </row>
    <row r="15" spans="1:27" ht="27" customHeight="1" x14ac:dyDescent="0.25">
      <c r="B15" s="1035" t="s">
        <v>658</v>
      </c>
      <c r="C15" s="1036"/>
      <c r="D15" s="1036"/>
      <c r="E15" s="1037"/>
      <c r="G15" s="1047" t="s">
        <v>769</v>
      </c>
      <c r="H15" s="1048"/>
      <c r="I15" s="1048"/>
      <c r="J15" s="1048"/>
      <c r="K15" s="1049"/>
    </row>
    <row r="16" spans="1:27" ht="27" customHeight="1" x14ac:dyDescent="0.25">
      <c r="B16" s="1017" t="s">
        <v>659</v>
      </c>
      <c r="C16" s="1018"/>
      <c r="D16" s="1018"/>
      <c r="E16" s="1019"/>
      <c r="G16" s="1050"/>
      <c r="H16" s="1051"/>
      <c r="I16" s="1051"/>
      <c r="J16" s="1051"/>
      <c r="K16" s="1052"/>
    </row>
    <row r="17" spans="2:11" ht="27" customHeight="1" x14ac:dyDescent="0.25">
      <c r="B17" s="1020"/>
      <c r="C17" s="1021"/>
      <c r="D17" s="1021"/>
      <c r="E17" s="1022"/>
      <c r="G17" s="1050"/>
      <c r="H17" s="1051"/>
      <c r="I17" s="1051"/>
      <c r="J17" s="1051"/>
      <c r="K17" s="1052"/>
    </row>
    <row r="18" spans="2:11" ht="27" customHeight="1" x14ac:dyDescent="0.25">
      <c r="B18" s="1011" t="s">
        <v>660</v>
      </c>
      <c r="C18" s="1012"/>
      <c r="D18" s="1012"/>
      <c r="E18" s="1013"/>
      <c r="G18" s="1053"/>
      <c r="H18" s="1054"/>
      <c r="I18" s="1054"/>
      <c r="J18" s="1054"/>
      <c r="K18" s="1055"/>
    </row>
    <row r="19" spans="2:11" ht="27" customHeight="1" x14ac:dyDescent="0.25">
      <c r="B19" s="1014"/>
      <c r="C19" s="1015"/>
      <c r="D19" s="1015"/>
      <c r="E19" s="1016"/>
    </row>
    <row r="20" spans="2:11" ht="12.75" customHeight="1" x14ac:dyDescent="0.25"/>
    <row r="21" spans="2:11" ht="24" customHeight="1" x14ac:dyDescent="0.25"/>
    <row r="22" spans="2:11" ht="24" customHeight="1" x14ac:dyDescent="0.25"/>
    <row r="23" spans="2:11" ht="23.25" x14ac:dyDescent="0.25">
      <c r="B23" s="58"/>
    </row>
    <row r="24" spans="2:11" x14ac:dyDescent="0.25">
      <c r="B24" s="1023" t="s">
        <v>552</v>
      </c>
      <c r="C24" s="1024"/>
      <c r="D24" s="1024"/>
      <c r="E24" s="1025"/>
    </row>
    <row r="25" spans="2:11" x14ac:dyDescent="0.25">
      <c r="B25" s="1026"/>
      <c r="C25" s="1027"/>
      <c r="D25" s="1027"/>
      <c r="E25" s="1028"/>
    </row>
    <row r="26" spans="2:11" ht="23.25" x14ac:dyDescent="0.25">
      <c r="B26" s="58"/>
    </row>
    <row r="27" spans="2:11" ht="23.25" x14ac:dyDescent="0.25">
      <c r="B27" s="58"/>
    </row>
    <row r="28" spans="2:11" ht="23.25" x14ac:dyDescent="0.25">
      <c r="B28" s="58"/>
    </row>
    <row r="29" spans="2:11" ht="23.25" x14ac:dyDescent="0.25">
      <c r="B29" s="58"/>
    </row>
    <row r="30" spans="2:11" ht="23.25" x14ac:dyDescent="0.25">
      <c r="B30" s="58"/>
    </row>
    <row r="31" spans="2:11" ht="23.25" x14ac:dyDescent="0.25">
      <c r="B31" s="58"/>
    </row>
    <row r="32" spans="2:11" ht="23.25" x14ac:dyDescent="0.25">
      <c r="B32" s="58"/>
    </row>
    <row r="33" spans="2:2" ht="23.25" x14ac:dyDescent="0.25">
      <c r="B33" s="58"/>
    </row>
    <row r="34" spans="2:2" ht="23.25" x14ac:dyDescent="0.25">
      <c r="B34" s="58"/>
    </row>
    <row r="35" spans="2:2" ht="23.25" x14ac:dyDescent="0.25">
      <c r="B35" s="58"/>
    </row>
    <row r="36" spans="2:2" ht="23.25" x14ac:dyDescent="0.25">
      <c r="B36" s="58"/>
    </row>
    <row r="37" spans="2:2" ht="23.25" x14ac:dyDescent="0.25">
      <c r="B37" s="58"/>
    </row>
    <row r="38" spans="2:2" ht="23.25" x14ac:dyDescent="0.25">
      <c r="B38" s="58"/>
    </row>
    <row r="39" spans="2:2" ht="23.25" x14ac:dyDescent="0.25">
      <c r="B39" s="58"/>
    </row>
    <row r="40" spans="2:2" ht="23.25" x14ac:dyDescent="0.25">
      <c r="B40" s="58"/>
    </row>
    <row r="41" spans="2:2" ht="23.25" x14ac:dyDescent="0.25">
      <c r="B41" s="58"/>
    </row>
    <row r="42" spans="2:2" ht="23.25" x14ac:dyDescent="0.25">
      <c r="B42" s="58"/>
    </row>
    <row r="43" spans="2:2" ht="23.25" x14ac:dyDescent="0.25">
      <c r="B43" s="58"/>
    </row>
    <row r="44" spans="2:2" ht="23.25" x14ac:dyDescent="0.25">
      <c r="B44" s="58"/>
    </row>
    <row r="45" spans="2:2" ht="23.25" x14ac:dyDescent="0.25">
      <c r="B45" s="58"/>
    </row>
    <row r="46" spans="2:2" ht="23.25" x14ac:dyDescent="0.25">
      <c r="B46" s="58"/>
    </row>
    <row r="47" spans="2:2" ht="23.25" x14ac:dyDescent="0.25">
      <c r="B47" s="58"/>
    </row>
    <row r="48" spans="2:2" ht="23.25" x14ac:dyDescent="0.25">
      <c r="B48" s="58"/>
    </row>
    <row r="49" spans="2:2" ht="23.25" x14ac:dyDescent="0.25">
      <c r="B49" s="58"/>
    </row>
    <row r="50" spans="2:2" ht="23.25" x14ac:dyDescent="0.25">
      <c r="B50" s="58"/>
    </row>
    <row r="51" spans="2:2" ht="23.25" x14ac:dyDescent="0.25">
      <c r="B51" s="58"/>
    </row>
    <row r="52" spans="2:2" ht="23.25" x14ac:dyDescent="0.25">
      <c r="B52" s="58"/>
    </row>
    <row r="53" spans="2:2" ht="23.25" x14ac:dyDescent="0.25">
      <c r="B53" s="58"/>
    </row>
    <row r="54" spans="2:2" ht="23.25" x14ac:dyDescent="0.25">
      <c r="B54" s="58"/>
    </row>
    <row r="55" spans="2:2" ht="23.25" x14ac:dyDescent="0.25">
      <c r="B55" s="58"/>
    </row>
    <row r="56" spans="2:2" ht="23.25" x14ac:dyDescent="0.25">
      <c r="B56" s="58"/>
    </row>
    <row r="57" spans="2:2" ht="23.25" x14ac:dyDescent="0.25">
      <c r="B57" s="58"/>
    </row>
    <row r="58" spans="2:2" ht="23.25" x14ac:dyDescent="0.25">
      <c r="B58" s="58"/>
    </row>
    <row r="59" spans="2:2" ht="23.25" x14ac:dyDescent="0.25">
      <c r="B59" s="58"/>
    </row>
    <row r="60" spans="2:2" ht="23.25" x14ac:dyDescent="0.25">
      <c r="B60" s="58"/>
    </row>
    <row r="61" spans="2:2" ht="23.25" x14ac:dyDescent="0.25">
      <c r="B61" s="58"/>
    </row>
    <row r="62" spans="2:2" ht="23.25" x14ac:dyDescent="0.25">
      <c r="B62" s="58"/>
    </row>
    <row r="63" spans="2:2" ht="23.25" x14ac:dyDescent="0.25">
      <c r="B63" s="58"/>
    </row>
    <row r="64" spans="2:2" ht="23.25" x14ac:dyDescent="0.25">
      <c r="B64" s="58"/>
    </row>
    <row r="65" spans="2:2" ht="23.25" x14ac:dyDescent="0.25">
      <c r="B65" s="58"/>
    </row>
    <row r="66" spans="2:2" ht="23.25" x14ac:dyDescent="0.25">
      <c r="B66" s="58"/>
    </row>
  </sheetData>
  <sortState xmlns:xlrd2="http://schemas.microsoft.com/office/spreadsheetml/2017/richdata2" ref="B2:F11">
    <sortCondition descending="1" ref="F2:F11"/>
  </sortState>
  <mergeCells count="11">
    <mergeCell ref="A1:A6"/>
    <mergeCell ref="N8:N9"/>
    <mergeCell ref="B18:E19"/>
    <mergeCell ref="B16:E17"/>
    <mergeCell ref="B24:E25"/>
    <mergeCell ref="G1:K2"/>
    <mergeCell ref="B15:E15"/>
    <mergeCell ref="G11:K14"/>
    <mergeCell ref="G15:K18"/>
    <mergeCell ref="N1:N2"/>
    <mergeCell ref="B1:E2"/>
  </mergeCells>
  <conditionalFormatting sqref="E4:E13">
    <cfRule type="iconSet" priority="1">
      <iconSet iconSet="3Symbols2">
        <cfvo type="percent" val="0"/>
        <cfvo type="percent" val="33"/>
        <cfvo type="percent" val="67"/>
      </iconSet>
    </cfRule>
  </conditionalFormatting>
  <hyperlinks>
    <hyperlink ref="A1:A3" location="'__ANA SAYFA'!A1" display="ANA SAYFA" xr:uid="{00000000-0004-0000-0C00-000000000000}"/>
  </hyperlinks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/>
  <dimension ref="A1:V22"/>
  <sheetViews>
    <sheetView zoomScale="90" zoomScaleNormal="90" workbookViewId="0">
      <selection activeCell="B1" sqref="B1:K2"/>
    </sheetView>
  </sheetViews>
  <sheetFormatPr defaultRowHeight="18.95" customHeight="1" x14ac:dyDescent="0.25"/>
  <cols>
    <col min="1" max="1" width="6.7109375" style="17" customWidth="1"/>
    <col min="12" max="12" width="2.28515625" customWidth="1"/>
  </cols>
  <sheetData>
    <row r="1" spans="1:22" ht="22.5" customHeight="1" x14ac:dyDescent="0.25">
      <c r="A1" s="743" t="s">
        <v>96</v>
      </c>
      <c r="B1" s="855" t="s">
        <v>477</v>
      </c>
      <c r="C1" s="855"/>
      <c r="D1" s="855"/>
      <c r="E1" s="855"/>
      <c r="F1" s="855"/>
      <c r="G1" s="855"/>
      <c r="H1" s="855"/>
      <c r="I1" s="855"/>
      <c r="J1" s="855"/>
      <c r="K1" s="855"/>
      <c r="M1" s="1062"/>
      <c r="N1" s="1062"/>
      <c r="O1" s="1062"/>
      <c r="P1" s="1062"/>
      <c r="Q1" s="1062"/>
      <c r="R1" s="1062"/>
      <c r="S1" s="1062"/>
      <c r="T1" s="1062"/>
      <c r="U1" s="1062"/>
      <c r="V1" s="1062"/>
    </row>
    <row r="2" spans="1:22" ht="22.5" customHeight="1" x14ac:dyDescent="0.25">
      <c r="A2" s="743"/>
      <c r="B2" s="855"/>
      <c r="C2" s="855"/>
      <c r="D2" s="855"/>
      <c r="E2" s="855"/>
      <c r="F2" s="855"/>
      <c r="G2" s="855"/>
      <c r="H2" s="855"/>
      <c r="I2" s="855"/>
      <c r="J2" s="855"/>
      <c r="K2" s="855"/>
      <c r="M2" s="1062"/>
      <c r="N2" s="1062"/>
      <c r="O2" s="1062"/>
      <c r="P2" s="1062"/>
      <c r="Q2" s="1062"/>
      <c r="R2" s="1062"/>
      <c r="S2" s="1062"/>
      <c r="T2" s="1062"/>
      <c r="U2" s="1062"/>
      <c r="V2" s="1062"/>
    </row>
    <row r="3" spans="1:22" ht="15.95" customHeight="1" x14ac:dyDescent="0.25">
      <c r="A3" s="743"/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</row>
    <row r="4" spans="1:22" ht="15.95" customHeight="1" x14ac:dyDescent="0.25">
      <c r="A4" s="743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</row>
    <row r="5" spans="1:22" ht="15.95" customHeight="1" x14ac:dyDescent="0.25">
      <c r="A5" s="743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</row>
    <row r="6" spans="1:22" ht="18.600000000000001" customHeight="1" x14ac:dyDescent="0.25">
      <c r="A6" s="743"/>
      <c r="B6" s="1063" t="s">
        <v>661</v>
      </c>
      <c r="C6" s="1063"/>
      <c r="D6" s="1063"/>
      <c r="E6" s="1063"/>
      <c r="F6" s="1063"/>
      <c r="G6" s="1063"/>
      <c r="H6" s="1063"/>
      <c r="I6" s="1063"/>
      <c r="J6" s="1063"/>
      <c r="K6" s="1063"/>
      <c r="L6" s="1063"/>
      <c r="M6" s="1063"/>
      <c r="N6" s="1063"/>
      <c r="O6" s="1063"/>
      <c r="P6" s="1063"/>
      <c r="Q6" s="1063"/>
      <c r="R6" s="1063"/>
      <c r="S6" s="1063"/>
      <c r="T6" s="1063"/>
      <c r="U6" s="1063"/>
      <c r="V6" s="1063"/>
    </row>
    <row r="7" spans="1:22" ht="9.9499999999999993" customHeight="1" x14ac:dyDescent="0.25">
      <c r="A7" s="743"/>
      <c r="B7" s="1063"/>
      <c r="C7" s="1063"/>
      <c r="D7" s="1063"/>
      <c r="E7" s="1063"/>
      <c r="F7" s="1063"/>
      <c r="G7" s="1063"/>
      <c r="H7" s="1063"/>
      <c r="I7" s="1063"/>
      <c r="J7" s="1063"/>
      <c r="K7" s="1063"/>
      <c r="L7" s="1063"/>
      <c r="M7" s="1063"/>
      <c r="N7" s="1063"/>
      <c r="O7" s="1063"/>
      <c r="P7" s="1063"/>
      <c r="Q7" s="1063"/>
      <c r="R7" s="1063"/>
      <c r="S7" s="1063"/>
      <c r="T7" s="1063"/>
      <c r="U7" s="1063"/>
      <c r="V7" s="1063"/>
    </row>
    <row r="8" spans="1:22" ht="18.600000000000001" customHeight="1" x14ac:dyDescent="0.25">
      <c r="B8" s="1063"/>
      <c r="C8" s="1063"/>
      <c r="D8" s="1063"/>
      <c r="E8" s="1063"/>
      <c r="F8" s="1063"/>
      <c r="G8" s="1063"/>
      <c r="H8" s="1063"/>
      <c r="I8" s="1063"/>
      <c r="J8" s="1063"/>
      <c r="K8" s="1063"/>
      <c r="L8" s="1063"/>
      <c r="M8" s="1063"/>
      <c r="N8" s="1063"/>
      <c r="O8" s="1063"/>
      <c r="P8" s="1063"/>
      <c r="Q8" s="1063"/>
      <c r="R8" s="1063"/>
      <c r="S8" s="1063"/>
      <c r="T8" s="1063"/>
      <c r="U8" s="1063"/>
      <c r="V8" s="1063"/>
    </row>
    <row r="9" spans="1:22" ht="18.600000000000001" customHeight="1" x14ac:dyDescent="0.25">
      <c r="B9" s="1061" t="s">
        <v>662</v>
      </c>
      <c r="C9" s="1061"/>
      <c r="D9" s="1061"/>
      <c r="E9" s="1061"/>
      <c r="F9" s="1061"/>
      <c r="G9" s="1061"/>
      <c r="H9" s="1061"/>
      <c r="I9" s="1061"/>
      <c r="J9" s="1061"/>
      <c r="K9" s="1061"/>
      <c r="L9" s="2"/>
      <c r="M9" s="1061" t="s">
        <v>667</v>
      </c>
      <c r="N9" s="1061"/>
      <c r="O9" s="1061"/>
      <c r="P9" s="1061"/>
      <c r="Q9" s="1061"/>
      <c r="R9" s="1061"/>
      <c r="S9" s="1061"/>
      <c r="T9" s="1061"/>
      <c r="U9" s="1061"/>
      <c r="V9" s="1061"/>
    </row>
    <row r="10" spans="1:22" ht="18.600000000000001" customHeight="1" x14ac:dyDescent="0.25">
      <c r="B10" s="1061"/>
      <c r="C10" s="1061"/>
      <c r="D10" s="1061"/>
      <c r="E10" s="1061"/>
      <c r="F10" s="1061"/>
      <c r="G10" s="1061"/>
      <c r="H10" s="1061"/>
      <c r="I10" s="1061"/>
      <c r="J10" s="1061"/>
      <c r="K10" s="1061"/>
      <c r="L10" s="2"/>
      <c r="M10" s="1061"/>
      <c r="N10" s="1061"/>
      <c r="O10" s="1061"/>
      <c r="P10" s="1061"/>
      <c r="Q10" s="1061"/>
      <c r="R10" s="1061"/>
      <c r="S10" s="1061"/>
      <c r="T10" s="1061"/>
      <c r="U10" s="1061"/>
      <c r="V10" s="1061"/>
    </row>
    <row r="11" spans="1:22" ht="18.600000000000001" customHeight="1" x14ac:dyDescent="0.25">
      <c r="B11" s="1064" t="s">
        <v>663</v>
      </c>
      <c r="C11" s="1064"/>
      <c r="D11" s="1064"/>
      <c r="E11" s="1064"/>
      <c r="F11" s="1064"/>
      <c r="G11" s="1064"/>
      <c r="H11" s="1064"/>
      <c r="I11" s="1064"/>
      <c r="J11" s="1064"/>
      <c r="K11" s="1064"/>
      <c r="L11" s="2"/>
      <c r="M11" s="1061"/>
      <c r="N11" s="1061"/>
      <c r="O11" s="1061"/>
      <c r="P11" s="1061"/>
      <c r="Q11" s="1061"/>
      <c r="R11" s="1061"/>
      <c r="S11" s="1061"/>
      <c r="T11" s="1061"/>
      <c r="U11" s="1061"/>
      <c r="V11" s="1061"/>
    </row>
    <row r="12" spans="1:22" ht="18.600000000000001" customHeight="1" x14ac:dyDescent="0.25">
      <c r="B12" s="1064"/>
      <c r="C12" s="1064"/>
      <c r="D12" s="1064"/>
      <c r="E12" s="1064"/>
      <c r="F12" s="1064"/>
      <c r="G12" s="1064"/>
      <c r="H12" s="1064"/>
      <c r="I12" s="1064"/>
      <c r="J12" s="1064"/>
      <c r="K12" s="1064"/>
      <c r="L12" s="2"/>
      <c r="M12" s="1064" t="s">
        <v>668</v>
      </c>
      <c r="N12" s="1064"/>
      <c r="O12" s="1064"/>
      <c r="P12" s="1064"/>
      <c r="Q12" s="1064"/>
      <c r="R12" s="1064"/>
      <c r="S12" s="1064"/>
      <c r="T12" s="1064"/>
      <c r="U12" s="1064"/>
      <c r="V12" s="1064"/>
    </row>
    <row r="13" spans="1:22" ht="18.600000000000001" customHeight="1" x14ac:dyDescent="0.25">
      <c r="B13" s="1064"/>
      <c r="C13" s="1064"/>
      <c r="D13" s="1064"/>
      <c r="E13" s="1064"/>
      <c r="F13" s="1064"/>
      <c r="G13" s="1064"/>
      <c r="H13" s="1064"/>
      <c r="I13" s="1064"/>
      <c r="J13" s="1064"/>
      <c r="K13" s="1064"/>
      <c r="M13" s="1064"/>
      <c r="N13" s="1064"/>
      <c r="O13" s="1064"/>
      <c r="P13" s="1064"/>
      <c r="Q13" s="1064"/>
      <c r="R13" s="1064"/>
      <c r="S13" s="1064"/>
      <c r="T13" s="1064"/>
      <c r="U13" s="1064"/>
      <c r="V13" s="1064"/>
    </row>
    <row r="14" spans="1:22" ht="18.600000000000001" customHeight="1" x14ac:dyDescent="0.25">
      <c r="B14" s="1061" t="s">
        <v>664</v>
      </c>
      <c r="C14" s="1061"/>
      <c r="D14" s="1061"/>
      <c r="E14" s="1061"/>
      <c r="F14" s="1061"/>
      <c r="G14" s="1061"/>
      <c r="H14" s="1061"/>
      <c r="I14" s="1061"/>
      <c r="J14" s="1061"/>
      <c r="K14" s="1061"/>
      <c r="M14" s="1064"/>
      <c r="N14" s="1064"/>
      <c r="O14" s="1064"/>
      <c r="P14" s="1064"/>
      <c r="Q14" s="1064"/>
      <c r="R14" s="1064"/>
      <c r="S14" s="1064"/>
      <c r="T14" s="1064"/>
      <c r="U14" s="1064"/>
      <c r="V14" s="1064"/>
    </row>
    <row r="15" spans="1:22" ht="18.600000000000001" customHeight="1" x14ac:dyDescent="0.25">
      <c r="B15" s="1061"/>
      <c r="C15" s="1061"/>
      <c r="D15" s="1061"/>
      <c r="E15" s="1061"/>
      <c r="F15" s="1061"/>
      <c r="G15" s="1061"/>
      <c r="H15" s="1061"/>
      <c r="I15" s="1061"/>
      <c r="J15" s="1061"/>
      <c r="K15" s="1061"/>
      <c r="M15" s="1064"/>
      <c r="N15" s="1064"/>
      <c r="O15" s="1064"/>
      <c r="P15" s="1064"/>
      <c r="Q15" s="1064"/>
      <c r="R15" s="1064"/>
      <c r="S15" s="1064"/>
      <c r="T15" s="1064"/>
      <c r="U15" s="1064"/>
      <c r="V15" s="1064"/>
    </row>
    <row r="16" spans="1:22" ht="18.600000000000001" customHeight="1" x14ac:dyDescent="0.25">
      <c r="B16" s="1061"/>
      <c r="C16" s="1061"/>
      <c r="D16" s="1061"/>
      <c r="E16" s="1061"/>
      <c r="F16" s="1061"/>
      <c r="G16" s="1061"/>
      <c r="H16" s="1061"/>
      <c r="I16" s="1061"/>
      <c r="J16" s="1061"/>
      <c r="K16" s="1061"/>
      <c r="M16" s="1064"/>
      <c r="N16" s="1064"/>
      <c r="O16" s="1064"/>
      <c r="P16" s="1064"/>
      <c r="Q16" s="1064"/>
      <c r="R16" s="1064"/>
      <c r="S16" s="1064"/>
      <c r="T16" s="1064"/>
      <c r="U16" s="1064"/>
      <c r="V16" s="1064"/>
    </row>
    <row r="17" spans="2:22" ht="18.600000000000001" customHeight="1" x14ac:dyDescent="0.25">
      <c r="B17" s="1064" t="s">
        <v>665</v>
      </c>
      <c r="C17" s="1064"/>
      <c r="D17" s="1064"/>
      <c r="E17" s="1064"/>
      <c r="F17" s="1064"/>
      <c r="G17" s="1064"/>
      <c r="H17" s="1064"/>
      <c r="I17" s="1064"/>
      <c r="J17" s="1064"/>
      <c r="K17" s="1064"/>
      <c r="M17" s="1064"/>
      <c r="N17" s="1064"/>
      <c r="O17" s="1064"/>
      <c r="P17" s="1064"/>
      <c r="Q17" s="1064"/>
      <c r="R17" s="1064"/>
      <c r="S17" s="1064"/>
      <c r="T17" s="1064"/>
      <c r="U17" s="1064"/>
      <c r="V17" s="1064"/>
    </row>
    <row r="18" spans="2:22" ht="18.600000000000001" customHeight="1" x14ac:dyDescent="0.25">
      <c r="B18" s="1064"/>
      <c r="C18" s="1064"/>
      <c r="D18" s="1064"/>
      <c r="E18" s="1064"/>
      <c r="F18" s="1064"/>
      <c r="G18" s="1064"/>
      <c r="H18" s="1064"/>
      <c r="I18" s="1064"/>
      <c r="J18" s="1064"/>
      <c r="K18" s="1064"/>
      <c r="M18" s="1064"/>
      <c r="N18" s="1064"/>
      <c r="O18" s="1064"/>
      <c r="P18" s="1064"/>
      <c r="Q18" s="1064"/>
      <c r="R18" s="1064"/>
      <c r="S18" s="1064"/>
      <c r="T18" s="1064"/>
      <c r="U18" s="1064"/>
      <c r="V18" s="1064"/>
    </row>
    <row r="19" spans="2:22" ht="18.600000000000001" customHeight="1" x14ac:dyDescent="0.25">
      <c r="B19" s="1064"/>
      <c r="C19" s="1064"/>
      <c r="D19" s="1064"/>
      <c r="E19" s="1064"/>
      <c r="F19" s="1064"/>
      <c r="G19" s="1064"/>
      <c r="H19" s="1064"/>
      <c r="I19" s="1064"/>
      <c r="J19" s="1064"/>
      <c r="K19" s="1064"/>
      <c r="M19" s="1064"/>
      <c r="N19" s="1064"/>
      <c r="O19" s="1064"/>
      <c r="P19" s="1064"/>
      <c r="Q19" s="1064"/>
      <c r="R19" s="1064"/>
      <c r="S19" s="1064"/>
      <c r="T19" s="1064"/>
      <c r="U19" s="1064"/>
      <c r="V19" s="1064"/>
    </row>
    <row r="20" spans="2:22" ht="18.600000000000001" customHeight="1" x14ac:dyDescent="0.25">
      <c r="B20" s="1061" t="s">
        <v>666</v>
      </c>
      <c r="C20" s="1061"/>
      <c r="D20" s="1061"/>
      <c r="E20" s="1061"/>
      <c r="F20" s="1061"/>
      <c r="G20" s="1061"/>
      <c r="H20" s="1061"/>
      <c r="I20" s="1061"/>
      <c r="J20" s="1061"/>
      <c r="K20" s="1061"/>
      <c r="M20" s="1064"/>
      <c r="N20" s="1064"/>
      <c r="O20" s="1064"/>
      <c r="P20" s="1064"/>
      <c r="Q20" s="1064"/>
      <c r="R20" s="1064"/>
      <c r="S20" s="1064"/>
      <c r="T20" s="1064"/>
      <c r="U20" s="1064"/>
      <c r="V20" s="1064"/>
    </row>
    <row r="21" spans="2:22" ht="18.600000000000001" customHeight="1" x14ac:dyDescent="0.25">
      <c r="B21" s="1061"/>
      <c r="C21" s="1061"/>
      <c r="D21" s="1061"/>
      <c r="E21" s="1061"/>
      <c r="F21" s="1061"/>
      <c r="G21" s="1061"/>
      <c r="H21" s="1061"/>
      <c r="I21" s="1061"/>
      <c r="J21" s="1061"/>
      <c r="K21" s="1061"/>
      <c r="M21" s="1064"/>
      <c r="N21" s="1064"/>
      <c r="O21" s="1064"/>
      <c r="P21" s="1064"/>
      <c r="Q21" s="1064"/>
      <c r="R21" s="1064"/>
      <c r="S21" s="1064"/>
      <c r="T21" s="1064"/>
      <c r="U21" s="1064"/>
      <c r="V21" s="1064"/>
    </row>
    <row r="22" spans="2:22" ht="18.600000000000001" customHeight="1" x14ac:dyDescent="0.25">
      <c r="B22" s="1061"/>
      <c r="C22" s="1061"/>
      <c r="D22" s="1061"/>
      <c r="E22" s="1061"/>
      <c r="F22" s="1061"/>
      <c r="G22" s="1061"/>
      <c r="H22" s="1061"/>
      <c r="I22" s="1061"/>
      <c r="J22" s="1061"/>
      <c r="K22" s="1061"/>
      <c r="M22" s="1064"/>
      <c r="N22" s="1064"/>
      <c r="O22" s="1064"/>
      <c r="P22" s="1064"/>
      <c r="Q22" s="1064"/>
      <c r="R22" s="1064"/>
      <c r="S22" s="1064"/>
      <c r="T22" s="1064"/>
      <c r="U22" s="1064"/>
      <c r="V22" s="1064"/>
    </row>
  </sheetData>
  <mergeCells count="11">
    <mergeCell ref="B20:K22"/>
    <mergeCell ref="A1:A7"/>
    <mergeCell ref="B1:K2"/>
    <mergeCell ref="M1:V2"/>
    <mergeCell ref="B6:V8"/>
    <mergeCell ref="B9:K10"/>
    <mergeCell ref="M9:V11"/>
    <mergeCell ref="B11:K13"/>
    <mergeCell ref="M12:V22"/>
    <mergeCell ref="B14:K16"/>
    <mergeCell ref="B17:K19"/>
  </mergeCells>
  <hyperlinks>
    <hyperlink ref="A1:A3" location="'__ANA SAYFA'!A1" display="ANA SAYFA" xr:uid="{00000000-0004-0000-0D00-000000000000}"/>
  </hyperlink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V18"/>
  <sheetViews>
    <sheetView zoomScale="85" zoomScaleNormal="85" workbookViewId="0">
      <selection activeCell="B1" sqref="B1"/>
    </sheetView>
  </sheetViews>
  <sheetFormatPr defaultColWidth="8.85546875" defaultRowHeight="14.25" x14ac:dyDescent="0.2"/>
  <cols>
    <col min="1" max="1" width="8" style="69" customWidth="1"/>
    <col min="2" max="2" width="6.28515625" style="23" customWidth="1"/>
    <col min="3" max="3" width="23.7109375" style="50" customWidth="1"/>
    <col min="4" max="6" width="15.5703125" style="23" customWidth="1"/>
    <col min="7" max="7" width="2.7109375" style="23" customWidth="1"/>
    <col min="8" max="8" width="6.85546875" style="23" customWidth="1"/>
    <col min="9" max="16" width="8.85546875" style="23"/>
    <col min="17" max="17" width="15.5703125" style="23" customWidth="1"/>
    <col min="18" max="18" width="2.7109375" style="23" customWidth="1"/>
    <col min="19" max="16384" width="8.85546875" style="23"/>
  </cols>
  <sheetData>
    <row r="1" spans="1:22" ht="57" customHeight="1" thickTop="1" x14ac:dyDescent="0.2">
      <c r="A1" s="1068" t="s">
        <v>96</v>
      </c>
      <c r="B1" s="115" t="s">
        <v>275</v>
      </c>
      <c r="C1" s="119" t="s">
        <v>276</v>
      </c>
      <c r="D1" s="120" t="s">
        <v>279</v>
      </c>
      <c r="E1" s="120" t="s">
        <v>371</v>
      </c>
      <c r="F1" s="121" t="s">
        <v>372</v>
      </c>
      <c r="H1" s="1067" t="s">
        <v>373</v>
      </c>
      <c r="I1" s="1067"/>
      <c r="J1" s="1067"/>
      <c r="K1" s="1067"/>
      <c r="L1" s="1067"/>
      <c r="M1" s="1067"/>
      <c r="N1" s="1067"/>
      <c r="O1" s="1067"/>
      <c r="P1" s="1067"/>
      <c r="Q1" s="1067"/>
      <c r="S1" s="1065" t="s">
        <v>627</v>
      </c>
      <c r="T1" s="1065"/>
      <c r="U1" s="1065"/>
      <c r="V1" s="1065"/>
    </row>
    <row r="2" spans="1:22" ht="36" customHeight="1" x14ac:dyDescent="0.2">
      <c r="A2" s="1068"/>
      <c r="B2" s="116">
        <v>1</v>
      </c>
      <c r="C2" s="122" t="s">
        <v>374</v>
      </c>
      <c r="D2" s="22">
        <v>200</v>
      </c>
      <c r="E2" s="22">
        <v>180</v>
      </c>
      <c r="F2" s="123">
        <v>220</v>
      </c>
      <c r="S2" s="1065"/>
      <c r="T2" s="1065"/>
      <c r="U2" s="1065"/>
      <c r="V2" s="1065"/>
    </row>
    <row r="3" spans="1:22" ht="36" customHeight="1" x14ac:dyDescent="0.2">
      <c r="A3" s="1068"/>
      <c r="B3" s="116">
        <v>2</v>
      </c>
      <c r="C3" s="122" t="s">
        <v>375</v>
      </c>
      <c r="D3" s="22">
        <v>250</v>
      </c>
      <c r="E3" s="22">
        <v>320</v>
      </c>
      <c r="F3" s="123">
        <v>170</v>
      </c>
      <c r="H3" s="48"/>
      <c r="S3" s="1066" t="s">
        <v>626</v>
      </c>
      <c r="T3" s="1066"/>
      <c r="U3" s="1066"/>
      <c r="V3" s="1066"/>
    </row>
    <row r="4" spans="1:22" ht="36" customHeight="1" x14ac:dyDescent="0.2">
      <c r="A4" s="1068"/>
      <c r="B4" s="116">
        <v>3</v>
      </c>
      <c r="C4" s="122" t="s">
        <v>376</v>
      </c>
      <c r="D4" s="22">
        <v>400</v>
      </c>
      <c r="E4" s="22">
        <v>350</v>
      </c>
      <c r="F4" s="123">
        <v>600</v>
      </c>
      <c r="H4" s="49"/>
      <c r="S4" s="1066"/>
      <c r="T4" s="1066"/>
      <c r="U4" s="1066"/>
      <c r="V4" s="1066"/>
    </row>
    <row r="5" spans="1:22" ht="36" customHeight="1" thickBot="1" x14ac:dyDescent="0.25">
      <c r="B5" s="116">
        <v>4</v>
      </c>
      <c r="C5" s="576" t="s">
        <v>377</v>
      </c>
      <c r="D5" s="577">
        <v>350</v>
      </c>
      <c r="E5" s="577">
        <v>500</v>
      </c>
      <c r="F5" s="578">
        <v>200</v>
      </c>
      <c r="H5" s="49"/>
      <c r="S5" s="1066"/>
      <c r="T5" s="1066"/>
      <c r="U5" s="1066"/>
      <c r="V5" s="1066"/>
    </row>
    <row r="6" spans="1:22" ht="36" customHeight="1" thickTop="1" x14ac:dyDescent="0.2">
      <c r="C6" s="117" t="s">
        <v>64</v>
      </c>
      <c r="D6" s="118">
        <f>SUM(D1:D5)</f>
        <v>1200</v>
      </c>
      <c r="E6" s="118">
        <f t="shared" ref="E6:F6" si="0">SUM(E1:E5)</f>
        <v>1350</v>
      </c>
      <c r="F6" s="118">
        <f t="shared" si="0"/>
        <v>1190</v>
      </c>
      <c r="H6" s="49"/>
      <c r="S6" s="1065" t="s">
        <v>670</v>
      </c>
      <c r="T6" s="1065"/>
      <c r="U6" s="1065"/>
      <c r="V6" s="1065"/>
    </row>
    <row r="7" spans="1:22" ht="36" customHeight="1" x14ac:dyDescent="0.2">
      <c r="C7" s="23"/>
      <c r="H7" s="49"/>
      <c r="S7" s="1065"/>
      <c r="T7" s="1065"/>
      <c r="U7" s="1065"/>
      <c r="V7" s="1065"/>
    </row>
    <row r="8" spans="1:22" ht="36" customHeight="1" x14ac:dyDescent="0.2">
      <c r="C8" s="23"/>
      <c r="H8" s="49"/>
      <c r="S8" s="1066" t="s">
        <v>669</v>
      </c>
      <c r="T8" s="1066"/>
      <c r="U8" s="1066"/>
      <c r="V8" s="1066"/>
    </row>
    <row r="9" spans="1:22" ht="36" customHeight="1" x14ac:dyDescent="0.2">
      <c r="H9" s="49"/>
      <c r="S9" s="1066"/>
      <c r="T9" s="1066"/>
      <c r="U9" s="1066"/>
      <c r="V9" s="1066"/>
    </row>
    <row r="10" spans="1:22" ht="36" customHeight="1" x14ac:dyDescent="0.2">
      <c r="C10" s="23"/>
      <c r="H10" s="48"/>
      <c r="S10" s="1066"/>
      <c r="T10" s="1066"/>
      <c r="U10" s="1066"/>
      <c r="V10" s="1066"/>
    </row>
    <row r="11" spans="1:22" ht="36" customHeight="1" x14ac:dyDescent="0.2">
      <c r="C11" s="23"/>
      <c r="H11" s="49"/>
      <c r="S11" s="1065" t="s">
        <v>671</v>
      </c>
      <c r="T11" s="1065"/>
      <c r="U11" s="1065"/>
      <c r="V11" s="1065"/>
    </row>
    <row r="12" spans="1:22" ht="36" customHeight="1" x14ac:dyDescent="0.2">
      <c r="C12" s="23"/>
      <c r="H12" s="49"/>
      <c r="S12" s="1065"/>
      <c r="T12" s="1065"/>
      <c r="U12" s="1065"/>
      <c r="V12" s="1065"/>
    </row>
    <row r="13" spans="1:22" ht="10.5" customHeight="1" x14ac:dyDescent="0.2">
      <c r="C13" s="23"/>
      <c r="H13" s="49"/>
    </row>
    <row r="14" spans="1:22" ht="36" customHeight="1" x14ac:dyDescent="0.2">
      <c r="C14" s="23"/>
      <c r="H14" s="49"/>
    </row>
    <row r="15" spans="1:22" ht="36" customHeight="1" x14ac:dyDescent="0.2">
      <c r="C15" s="23"/>
      <c r="H15" s="49"/>
    </row>
    <row r="16" spans="1:22" ht="36" customHeight="1" x14ac:dyDescent="0.2">
      <c r="C16" s="23"/>
      <c r="H16" s="49"/>
    </row>
    <row r="17" spans="3:3" ht="28.15" customHeight="1" x14ac:dyDescent="0.2">
      <c r="C17" s="23"/>
    </row>
    <row r="18" spans="3:3" ht="23.45" customHeight="1" x14ac:dyDescent="0.2"/>
  </sheetData>
  <mergeCells count="7">
    <mergeCell ref="S11:V12"/>
    <mergeCell ref="S6:V7"/>
    <mergeCell ref="S8:V10"/>
    <mergeCell ref="H1:Q1"/>
    <mergeCell ref="A1:A4"/>
    <mergeCell ref="S1:V2"/>
    <mergeCell ref="S3:V5"/>
  </mergeCells>
  <hyperlinks>
    <hyperlink ref="A1:A3" location="'__ANA SAYFA'!A1" display="ANA SAYFA" xr:uid="{00000000-0004-0000-0E00-000000000000}"/>
  </hyperlinks>
  <pageMargins left="0.7" right="0.7" top="0.75" bottom="0.75" header="0.3" footer="0.3"/>
  <pageSetup paperSize="9" orientation="portrait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U31"/>
  <sheetViews>
    <sheetView zoomScale="85" zoomScaleNormal="85" workbookViewId="0">
      <selection activeCell="B1" sqref="B1"/>
    </sheetView>
  </sheetViews>
  <sheetFormatPr defaultColWidth="8.85546875" defaultRowHeight="14.25" x14ac:dyDescent="0.2"/>
  <cols>
    <col min="1" max="1" width="8" style="69" customWidth="1"/>
    <col min="2" max="2" width="6.28515625" style="23" customWidth="1"/>
    <col min="3" max="3" width="23.7109375" style="50" customWidth="1"/>
    <col min="4" max="6" width="15.5703125" style="23" customWidth="1"/>
    <col min="7" max="7" width="1.7109375" style="23" customWidth="1"/>
    <col min="8" max="18" width="9.7109375" style="23" customWidth="1"/>
    <col min="19" max="19" width="1.7109375" style="23" customWidth="1"/>
    <col min="20" max="21" width="12.140625" style="23" customWidth="1"/>
    <col min="22" max="22" width="1.7109375" style="23" customWidth="1"/>
    <col min="23" max="16384" width="8.85546875" style="23"/>
  </cols>
  <sheetData>
    <row r="1" spans="1:21" ht="50.25" customHeight="1" x14ac:dyDescent="0.2">
      <c r="A1" s="1068" t="s">
        <v>96</v>
      </c>
      <c r="B1" s="450" t="s">
        <v>275</v>
      </c>
      <c r="C1" s="372" t="s">
        <v>276</v>
      </c>
      <c r="D1" s="381" t="s">
        <v>279</v>
      </c>
      <c r="E1" s="381" t="s">
        <v>371</v>
      </c>
      <c r="F1" s="381" t="s">
        <v>372</v>
      </c>
      <c r="H1" s="1070" t="s">
        <v>378</v>
      </c>
      <c r="I1" s="1070"/>
      <c r="J1" s="1070"/>
      <c r="K1" s="1070"/>
      <c r="L1" s="1070"/>
      <c r="M1" s="1070"/>
      <c r="N1" s="1070"/>
      <c r="O1" s="1070"/>
      <c r="P1" s="1070"/>
      <c r="Q1" s="1070"/>
      <c r="R1" s="1070"/>
      <c r="T1" s="1069" t="s">
        <v>633</v>
      </c>
      <c r="U1" s="1069"/>
    </row>
    <row r="2" spans="1:21" ht="36" customHeight="1" x14ac:dyDescent="0.2">
      <c r="A2" s="1068"/>
      <c r="B2" s="192">
        <v>1</v>
      </c>
      <c r="C2" s="21" t="s">
        <v>374</v>
      </c>
      <c r="D2" s="22">
        <v>200</v>
      </c>
      <c r="E2" s="22">
        <v>600</v>
      </c>
      <c r="F2" s="22">
        <v>300</v>
      </c>
      <c r="T2" s="1069"/>
      <c r="U2" s="1069"/>
    </row>
    <row r="3" spans="1:21" ht="36" customHeight="1" x14ac:dyDescent="0.2">
      <c r="A3" s="1068"/>
      <c r="B3" s="192">
        <v>2</v>
      </c>
      <c r="C3" s="21" t="s">
        <v>375</v>
      </c>
      <c r="D3" s="22">
        <v>800</v>
      </c>
      <c r="E3" s="22">
        <v>300</v>
      </c>
      <c r="F3" s="22">
        <v>900</v>
      </c>
      <c r="H3" s="48"/>
      <c r="T3" s="1069"/>
      <c r="U3" s="1069"/>
    </row>
    <row r="4" spans="1:21" ht="36" customHeight="1" x14ac:dyDescent="0.2">
      <c r="A4" s="1068"/>
      <c r="B4" s="192">
        <v>3</v>
      </c>
      <c r="C4" s="21" t="s">
        <v>376</v>
      </c>
      <c r="D4" s="22">
        <v>600</v>
      </c>
      <c r="E4" s="22">
        <v>450</v>
      </c>
      <c r="F4" s="22">
        <v>500</v>
      </c>
      <c r="H4" s="49"/>
      <c r="T4" s="1071" t="s">
        <v>634</v>
      </c>
      <c r="U4" s="1071"/>
    </row>
    <row r="5" spans="1:21" ht="36" customHeight="1" x14ac:dyDescent="0.2">
      <c r="B5" s="192">
        <v>4</v>
      </c>
      <c r="C5" s="21" t="s">
        <v>377</v>
      </c>
      <c r="D5" s="22">
        <v>400</v>
      </c>
      <c r="E5" s="22">
        <v>150</v>
      </c>
      <c r="F5" s="22">
        <v>150</v>
      </c>
      <c r="H5" s="49"/>
      <c r="T5" s="1071"/>
      <c r="U5" s="1071"/>
    </row>
    <row r="6" spans="1:21" ht="36" customHeight="1" x14ac:dyDescent="0.2">
      <c r="C6" s="451" t="s">
        <v>64</v>
      </c>
      <c r="D6" s="452">
        <f>SUM(D2:D5)</f>
        <v>2000</v>
      </c>
      <c r="E6" s="452">
        <f t="shared" ref="E6:F6" si="0">SUM(E2:E5)</f>
        <v>1500</v>
      </c>
      <c r="F6" s="452">
        <f t="shared" si="0"/>
        <v>1850</v>
      </c>
      <c r="H6" s="49"/>
      <c r="T6" s="1071"/>
      <c r="U6" s="1071"/>
    </row>
    <row r="7" spans="1:21" ht="36" customHeight="1" thickBot="1" x14ac:dyDescent="0.25">
      <c r="C7" s="23"/>
      <c r="H7" s="49"/>
      <c r="T7" s="1069" t="s">
        <v>635</v>
      </c>
      <c r="U7" s="1069"/>
    </row>
    <row r="8" spans="1:21" ht="36" customHeight="1" thickTop="1" x14ac:dyDescent="0.2">
      <c r="C8" s="143" t="s">
        <v>276</v>
      </c>
      <c r="D8" s="144" t="s">
        <v>279</v>
      </c>
      <c r="H8" s="49"/>
      <c r="T8" s="1069"/>
      <c r="U8" s="1069"/>
    </row>
    <row r="9" spans="1:21" ht="36" customHeight="1" x14ac:dyDescent="0.2">
      <c r="C9" s="145" t="s">
        <v>374</v>
      </c>
      <c r="D9" s="123">
        <f>HLOOKUP(D$8,$D$1:$F$5,2,0)</f>
        <v>200</v>
      </c>
      <c r="H9" s="49"/>
      <c r="T9" s="1069"/>
      <c r="U9" s="1069"/>
    </row>
    <row r="10" spans="1:21" ht="36" customHeight="1" x14ac:dyDescent="0.2">
      <c r="C10" s="146" t="s">
        <v>375</v>
      </c>
      <c r="D10" s="124">
        <f>HLOOKUP(D$8,$D$1:$F$5,3,0)</f>
        <v>800</v>
      </c>
      <c r="H10" s="49"/>
      <c r="T10" s="1069"/>
      <c r="U10" s="1069"/>
    </row>
    <row r="11" spans="1:21" ht="36" customHeight="1" x14ac:dyDescent="0.2">
      <c r="C11" s="145" t="s">
        <v>376</v>
      </c>
      <c r="D11" s="123">
        <f>HLOOKUP(D$8,$D$1:$F$5,4,0)</f>
        <v>600</v>
      </c>
      <c r="H11" s="49"/>
      <c r="T11" s="1069"/>
      <c r="U11" s="1069"/>
    </row>
    <row r="12" spans="1:21" ht="36" customHeight="1" thickBot="1" x14ac:dyDescent="0.25">
      <c r="C12" s="147" t="s">
        <v>377</v>
      </c>
      <c r="D12" s="127">
        <f>HLOOKUP(D$8,$D$1:$F$5,5,0)</f>
        <v>400</v>
      </c>
      <c r="H12" s="49"/>
      <c r="T12" s="1069"/>
      <c r="U12" s="1069"/>
    </row>
    <row r="13" spans="1:21" ht="12" customHeight="1" thickTop="1" x14ac:dyDescent="0.2">
      <c r="H13" s="49"/>
    </row>
    <row r="14" spans="1:21" ht="36" customHeight="1" x14ac:dyDescent="0.2">
      <c r="H14" s="49"/>
    </row>
    <row r="15" spans="1:21" ht="36" customHeight="1" x14ac:dyDescent="0.2">
      <c r="H15" s="49"/>
    </row>
    <row r="16" spans="1:21" ht="36" customHeight="1" x14ac:dyDescent="0.2">
      <c r="H16" s="49"/>
    </row>
    <row r="17" spans="8:8" ht="36" customHeight="1" x14ac:dyDescent="0.2">
      <c r="H17" s="49"/>
    </row>
    <row r="18" spans="8:8" ht="36" customHeight="1" x14ac:dyDescent="0.2">
      <c r="H18" s="49"/>
    </row>
    <row r="19" spans="8:8" ht="36" customHeight="1" x14ac:dyDescent="0.2">
      <c r="H19" s="49"/>
    </row>
    <row r="20" spans="8:8" ht="36" customHeight="1" x14ac:dyDescent="0.2">
      <c r="H20" s="49"/>
    </row>
    <row r="21" spans="8:8" ht="36" customHeight="1" x14ac:dyDescent="0.2">
      <c r="H21" s="49"/>
    </row>
    <row r="22" spans="8:8" ht="36" customHeight="1" x14ac:dyDescent="0.2">
      <c r="H22" s="49"/>
    </row>
    <row r="23" spans="8:8" ht="36" customHeight="1" x14ac:dyDescent="0.2">
      <c r="H23" s="49"/>
    </row>
    <row r="24" spans="8:8" ht="36" customHeight="1" x14ac:dyDescent="0.2">
      <c r="H24" s="49"/>
    </row>
    <row r="25" spans="8:8" ht="36" customHeight="1" x14ac:dyDescent="0.2">
      <c r="H25" s="49"/>
    </row>
    <row r="26" spans="8:8" ht="36" customHeight="1" x14ac:dyDescent="0.2">
      <c r="H26" s="49"/>
    </row>
    <row r="27" spans="8:8" ht="36" customHeight="1" x14ac:dyDescent="0.2">
      <c r="H27" s="49"/>
    </row>
    <row r="28" spans="8:8" ht="36" customHeight="1" x14ac:dyDescent="0.2">
      <c r="H28" s="49"/>
    </row>
    <row r="29" spans="8:8" ht="36" customHeight="1" x14ac:dyDescent="0.2">
      <c r="H29" s="49"/>
    </row>
    <row r="30" spans="8:8" ht="36" customHeight="1" x14ac:dyDescent="0.2">
      <c r="H30" s="49"/>
    </row>
    <row r="31" spans="8:8" ht="36" customHeight="1" x14ac:dyDescent="0.2">
      <c r="H31" s="49"/>
    </row>
  </sheetData>
  <mergeCells count="5">
    <mergeCell ref="T7:U12"/>
    <mergeCell ref="H1:R1"/>
    <mergeCell ref="A1:A4"/>
    <mergeCell ref="T4:U6"/>
    <mergeCell ref="T1:U3"/>
  </mergeCells>
  <dataValidations count="1">
    <dataValidation type="list" allowBlank="1" showInputMessage="1" showErrorMessage="1" sqref="D8" xr:uid="{00000000-0002-0000-0F00-000000000000}">
      <formula1>$D$1:$F$1</formula1>
    </dataValidation>
  </dataValidations>
  <hyperlinks>
    <hyperlink ref="A1:A3" location="'__ANA SAYFA'!A1" display="ANA SAYFA" xr:uid="{00000000-0004-0000-0F00-000000000000}"/>
  </hyperlinks>
  <pageMargins left="0.7" right="0.7" top="0.75" bottom="0.75" header="0.3" footer="0.3"/>
  <pageSetup paperSize="9" orientation="portrait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V27"/>
  <sheetViews>
    <sheetView zoomScale="85" zoomScaleNormal="85" workbookViewId="0">
      <selection activeCell="B1" sqref="B1"/>
    </sheetView>
  </sheetViews>
  <sheetFormatPr defaultColWidth="8.85546875" defaultRowHeight="14.25" x14ac:dyDescent="0.2"/>
  <cols>
    <col min="1" max="1" width="8" style="69" customWidth="1"/>
    <col min="2" max="2" width="6.28515625" style="23" customWidth="1"/>
    <col min="3" max="3" width="23.7109375" style="50" customWidth="1"/>
    <col min="4" max="6" width="15.5703125" style="23" customWidth="1"/>
    <col min="7" max="7" width="2.7109375" style="23" customWidth="1"/>
    <col min="8" max="8" width="6.85546875" style="23" customWidth="1"/>
    <col min="9" max="19" width="8.7109375" style="23" customWidth="1"/>
    <col min="20" max="20" width="1.7109375" style="23" customWidth="1"/>
    <col min="21" max="22" width="13.7109375" style="23" customWidth="1"/>
    <col min="23" max="23" width="1.7109375" style="23" customWidth="1"/>
    <col min="24" max="16384" width="8.85546875" style="23"/>
  </cols>
  <sheetData>
    <row r="1" spans="1:22" ht="48.75" customHeight="1" x14ac:dyDescent="0.2">
      <c r="A1" s="1068" t="s">
        <v>96</v>
      </c>
      <c r="B1" s="380" t="s">
        <v>275</v>
      </c>
      <c r="C1" s="372" t="s">
        <v>276</v>
      </c>
      <c r="D1" s="381" t="s">
        <v>279</v>
      </c>
      <c r="E1" s="381" t="s">
        <v>371</v>
      </c>
      <c r="F1" s="381" t="s">
        <v>372</v>
      </c>
      <c r="H1" s="1070" t="s">
        <v>625</v>
      </c>
      <c r="I1" s="1070"/>
      <c r="J1" s="1070"/>
      <c r="K1" s="1070"/>
      <c r="L1" s="1070"/>
      <c r="M1" s="1070"/>
      <c r="N1" s="1070"/>
      <c r="O1" s="1070"/>
      <c r="P1" s="1070"/>
      <c r="Q1" s="1070"/>
      <c r="R1" s="1070"/>
      <c r="S1" s="1070"/>
      <c r="U1" s="1073" t="s">
        <v>630</v>
      </c>
      <c r="V1" s="1073"/>
    </row>
    <row r="2" spans="1:22" ht="36" customHeight="1" x14ac:dyDescent="0.2">
      <c r="A2" s="1068"/>
      <c r="B2" s="116">
        <v>1</v>
      </c>
      <c r="C2" s="21" t="s">
        <v>374</v>
      </c>
      <c r="D2" s="22">
        <v>200</v>
      </c>
      <c r="E2" s="22">
        <v>140</v>
      </c>
      <c r="F2" s="22">
        <v>220</v>
      </c>
      <c r="U2" s="1073"/>
      <c r="V2" s="1073"/>
    </row>
    <row r="3" spans="1:22" ht="36" customHeight="1" x14ac:dyDescent="0.2">
      <c r="A3" s="1068"/>
      <c r="B3" s="116">
        <v>2</v>
      </c>
      <c r="C3" s="21" t="s">
        <v>375</v>
      </c>
      <c r="D3" s="22">
        <v>550</v>
      </c>
      <c r="E3" s="22">
        <v>320</v>
      </c>
      <c r="F3" s="22">
        <v>170</v>
      </c>
      <c r="H3" s="48"/>
      <c r="U3" s="1073"/>
      <c r="V3" s="1073"/>
    </row>
    <row r="4" spans="1:22" ht="36" customHeight="1" x14ac:dyDescent="0.2">
      <c r="A4" s="1068"/>
      <c r="B4" s="116">
        <v>3</v>
      </c>
      <c r="C4" s="21" t="s">
        <v>376</v>
      </c>
      <c r="D4" s="22">
        <v>200</v>
      </c>
      <c r="E4" s="22">
        <v>350</v>
      </c>
      <c r="F4" s="22">
        <v>600</v>
      </c>
      <c r="H4" s="49"/>
      <c r="U4" s="1072" t="s">
        <v>628</v>
      </c>
      <c r="V4" s="1072"/>
    </row>
    <row r="5" spans="1:22" ht="36" customHeight="1" x14ac:dyDescent="0.2">
      <c r="B5" s="116">
        <v>4</v>
      </c>
      <c r="C5" s="21" t="s">
        <v>377</v>
      </c>
      <c r="D5" s="22">
        <v>900</v>
      </c>
      <c r="E5" s="22">
        <v>750</v>
      </c>
      <c r="F5" s="22">
        <v>500</v>
      </c>
      <c r="H5" s="49"/>
      <c r="U5" s="1072"/>
      <c r="V5" s="1072"/>
    </row>
    <row r="6" spans="1:22" ht="36" customHeight="1" x14ac:dyDescent="0.2">
      <c r="C6" s="117" t="s">
        <v>64</v>
      </c>
      <c r="D6" s="118">
        <f>SUM(D2:D5)</f>
        <v>1850</v>
      </c>
      <c r="E6" s="118">
        <f t="shared" ref="E6:F6" si="0">SUM(E2:E5)</f>
        <v>1560</v>
      </c>
      <c r="F6" s="118">
        <f t="shared" si="0"/>
        <v>1490</v>
      </c>
      <c r="H6" s="49"/>
      <c r="U6" s="1073" t="s">
        <v>629</v>
      </c>
      <c r="V6" s="1073"/>
    </row>
    <row r="7" spans="1:22" ht="36" customHeight="1" thickBot="1" x14ac:dyDescent="0.25">
      <c r="C7" s="23"/>
      <c r="H7" s="49"/>
      <c r="U7" s="1073"/>
      <c r="V7" s="1073"/>
    </row>
    <row r="8" spans="1:22" ht="36" customHeight="1" thickTop="1" x14ac:dyDescent="0.2">
      <c r="C8" s="148" t="s">
        <v>276</v>
      </c>
      <c r="D8" s="149" t="s">
        <v>279</v>
      </c>
      <c r="E8" s="149" t="s">
        <v>371</v>
      </c>
      <c r="F8" s="150" t="s">
        <v>372</v>
      </c>
      <c r="H8" s="49"/>
      <c r="U8" s="1073"/>
      <c r="V8" s="1073"/>
    </row>
    <row r="9" spans="1:22" ht="36" customHeight="1" thickBot="1" x14ac:dyDescent="0.25">
      <c r="C9" s="125" t="s">
        <v>374</v>
      </c>
      <c r="D9" s="126">
        <f>VLOOKUP($C$9,$C$2:$F$5,2,0)</f>
        <v>200</v>
      </c>
      <c r="E9" s="126">
        <f>VLOOKUP($C$9,$C$2:$F$5,3,0)</f>
        <v>140</v>
      </c>
      <c r="F9" s="127">
        <f>VLOOKUP($C$9,$C$2:$F$5,4,0)</f>
        <v>220</v>
      </c>
      <c r="H9" s="49"/>
      <c r="U9" s="1072" t="s">
        <v>631</v>
      </c>
      <c r="V9" s="1072"/>
    </row>
    <row r="10" spans="1:22" ht="28.15" customHeight="1" thickTop="1" x14ac:dyDescent="0.2">
      <c r="U10" s="1073" t="s">
        <v>632</v>
      </c>
      <c r="V10" s="1073"/>
    </row>
    <row r="11" spans="1:22" ht="23.45" customHeight="1" x14ac:dyDescent="0.2">
      <c r="U11" s="1073"/>
      <c r="V11" s="1073"/>
    </row>
    <row r="12" spans="1:22" ht="23.45" customHeight="1" x14ac:dyDescent="0.2">
      <c r="U12" s="1073"/>
      <c r="V12" s="1073"/>
    </row>
    <row r="13" spans="1:22" ht="23.45" customHeight="1" x14ac:dyDescent="0.2">
      <c r="U13" s="1073"/>
      <c r="V13" s="1073"/>
    </row>
    <row r="14" spans="1:22" ht="23.45" customHeight="1" x14ac:dyDescent="0.2"/>
    <row r="15" spans="1:22" ht="23.45" customHeight="1" x14ac:dyDescent="0.2"/>
    <row r="16" spans="1:22" ht="23.45" customHeight="1" x14ac:dyDescent="0.2"/>
    <row r="17" ht="23.45" customHeight="1" x14ac:dyDescent="0.2"/>
    <row r="18" ht="23.45" customHeight="1" x14ac:dyDescent="0.2"/>
    <row r="19" ht="23.45" customHeight="1" x14ac:dyDescent="0.2"/>
    <row r="20" ht="23.45" customHeight="1" x14ac:dyDescent="0.2"/>
    <row r="21" ht="23.45" customHeight="1" x14ac:dyDescent="0.2"/>
    <row r="22" ht="23.45" customHeight="1" x14ac:dyDescent="0.2"/>
    <row r="23" ht="23.45" customHeight="1" x14ac:dyDescent="0.2"/>
    <row r="24" ht="23.45" customHeight="1" x14ac:dyDescent="0.2"/>
    <row r="25" ht="23.45" customHeight="1" x14ac:dyDescent="0.2"/>
    <row r="26" ht="23.45" customHeight="1" x14ac:dyDescent="0.2"/>
    <row r="27" ht="23.45" customHeight="1" x14ac:dyDescent="0.2"/>
  </sheetData>
  <mergeCells count="7">
    <mergeCell ref="U9:V9"/>
    <mergeCell ref="U10:V13"/>
    <mergeCell ref="H1:S1"/>
    <mergeCell ref="A1:A4"/>
    <mergeCell ref="U1:V3"/>
    <mergeCell ref="U4:V5"/>
    <mergeCell ref="U6:V8"/>
  </mergeCells>
  <dataValidations count="1">
    <dataValidation type="list" allowBlank="1" showInputMessage="1" showErrorMessage="1" sqref="C9" xr:uid="{00000000-0002-0000-1000-000000000000}">
      <formula1>$C$2:$C$5</formula1>
    </dataValidation>
  </dataValidations>
  <hyperlinks>
    <hyperlink ref="A1:A3" location="'__ANA SAYFA'!A1" display="ANA SAYFA" xr:uid="{00000000-0004-0000-1000-000000000000}"/>
  </hyperlinks>
  <pageMargins left="0.7" right="0.7" top="0.75" bottom="0.75" header="0.3" footer="0.3"/>
  <pageSetup paperSize="9" orientation="portrait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K15"/>
  <sheetViews>
    <sheetView tabSelected="1" zoomScale="90" zoomScaleNormal="90" workbookViewId="0">
      <selection activeCell="G18" sqref="G18"/>
    </sheetView>
  </sheetViews>
  <sheetFormatPr defaultRowHeight="15" x14ac:dyDescent="0.25"/>
  <cols>
    <col min="1" max="1" width="7.5703125" style="17" customWidth="1"/>
    <col min="2" max="2" width="37.85546875" customWidth="1"/>
    <col min="3" max="3" width="1.85546875" customWidth="1"/>
    <col min="4" max="4" width="40.140625" customWidth="1"/>
    <col min="5" max="5" width="28.28515625" customWidth="1"/>
    <col min="6" max="6" width="1.85546875" customWidth="1"/>
    <col min="7" max="7" width="20.5703125" customWidth="1"/>
    <col min="8" max="8" width="20.140625" customWidth="1"/>
    <col min="9" max="9" width="26" customWidth="1"/>
    <col min="10" max="10" width="1.85546875" customWidth="1"/>
    <col min="11" max="11" width="14.42578125" customWidth="1"/>
    <col min="12" max="12" width="14.7109375" customWidth="1"/>
  </cols>
  <sheetData>
    <row r="1" spans="1:11" ht="39.75" customHeight="1" x14ac:dyDescent="0.35">
      <c r="A1" s="634" t="s">
        <v>96</v>
      </c>
      <c r="B1" s="323" t="s">
        <v>445</v>
      </c>
      <c r="C1" s="324"/>
      <c r="D1" s="1074" t="s">
        <v>446</v>
      </c>
      <c r="E1" s="1075"/>
      <c r="F1" s="324"/>
      <c r="G1" s="1076" t="s">
        <v>447</v>
      </c>
      <c r="H1" s="1077"/>
      <c r="I1" s="1077"/>
    </row>
    <row r="2" spans="1:11" ht="8.25" customHeight="1" thickBot="1" x14ac:dyDescent="0.4">
      <c r="A2" s="634"/>
      <c r="B2" s="10"/>
      <c r="C2" s="10"/>
      <c r="D2" s="10"/>
      <c r="E2" s="10"/>
      <c r="F2" s="10"/>
      <c r="G2" s="10"/>
      <c r="H2" s="10"/>
      <c r="I2" s="10"/>
      <c r="K2" s="66"/>
    </row>
    <row r="3" spans="1:11" ht="34.5" customHeight="1" thickTop="1" x14ac:dyDescent="0.45">
      <c r="A3" s="743"/>
      <c r="B3" s="388" t="s">
        <v>307</v>
      </c>
      <c r="C3" s="321"/>
      <c r="D3" s="393" t="s">
        <v>771</v>
      </c>
      <c r="E3" s="395" t="s">
        <v>772</v>
      </c>
      <c r="F3" s="321"/>
      <c r="G3" s="393" t="s">
        <v>478</v>
      </c>
      <c r="H3" s="394" t="s">
        <v>708</v>
      </c>
      <c r="I3" s="395" t="s">
        <v>735</v>
      </c>
    </row>
    <row r="4" spans="1:11" ht="24" customHeight="1" x14ac:dyDescent="0.45">
      <c r="A4" s="743"/>
      <c r="B4" s="389" t="s">
        <v>310</v>
      </c>
      <c r="C4" s="321"/>
      <c r="D4" s="391" t="s">
        <v>727</v>
      </c>
      <c r="E4" s="392" t="s">
        <v>728</v>
      </c>
      <c r="F4" s="321"/>
      <c r="G4" s="391" t="s">
        <v>482</v>
      </c>
      <c r="H4" s="325" t="s">
        <v>481</v>
      </c>
      <c r="I4" s="392" t="s">
        <v>311</v>
      </c>
    </row>
    <row r="5" spans="1:11" ht="24" customHeight="1" x14ac:dyDescent="0.45">
      <c r="A5" s="743"/>
      <c r="B5" s="390" t="s">
        <v>314</v>
      </c>
      <c r="C5" s="321"/>
      <c r="D5" s="391" t="s">
        <v>729</v>
      </c>
      <c r="E5" s="392" t="s">
        <v>731</v>
      </c>
      <c r="F5" s="321"/>
      <c r="G5" s="396" t="s">
        <v>707</v>
      </c>
      <c r="H5" s="320" t="s">
        <v>481</v>
      </c>
      <c r="I5" s="397" t="s">
        <v>311</v>
      </c>
    </row>
    <row r="6" spans="1:11" ht="24" customHeight="1" x14ac:dyDescent="0.45">
      <c r="A6" s="743"/>
      <c r="B6" s="389" t="s">
        <v>316</v>
      </c>
      <c r="C6" s="321"/>
      <c r="D6" s="391" t="s">
        <v>730</v>
      </c>
      <c r="E6" s="392" t="s">
        <v>732</v>
      </c>
      <c r="F6" s="321"/>
      <c r="G6" s="391" t="s">
        <v>706</v>
      </c>
      <c r="H6" s="325" t="s">
        <v>481</v>
      </c>
      <c r="I6" s="392" t="s">
        <v>313</v>
      </c>
    </row>
    <row r="7" spans="1:11" ht="24" customHeight="1" x14ac:dyDescent="0.45">
      <c r="B7" s="390" t="s">
        <v>318</v>
      </c>
      <c r="C7" s="321"/>
      <c r="D7" s="402" t="s">
        <v>730</v>
      </c>
      <c r="E7" s="403" t="s">
        <v>732</v>
      </c>
      <c r="F7" s="321"/>
      <c r="G7" s="455" t="s">
        <v>707</v>
      </c>
      <c r="H7" s="456" t="s">
        <v>481</v>
      </c>
      <c r="I7" s="457" t="s">
        <v>311</v>
      </c>
    </row>
    <row r="8" spans="1:11" ht="24" customHeight="1" x14ac:dyDescent="0.45">
      <c r="B8" s="389" t="s">
        <v>317</v>
      </c>
      <c r="C8" s="321"/>
      <c r="D8" s="402" t="s">
        <v>730</v>
      </c>
      <c r="E8" s="403" t="s">
        <v>732</v>
      </c>
      <c r="F8" s="321"/>
      <c r="G8" s="391" t="s">
        <v>485</v>
      </c>
      <c r="H8" s="325" t="s">
        <v>709</v>
      </c>
      <c r="I8" s="392" t="s">
        <v>315</v>
      </c>
    </row>
    <row r="9" spans="1:11" ht="24" customHeight="1" x14ac:dyDescent="0.45">
      <c r="B9" s="458" t="s">
        <v>318</v>
      </c>
      <c r="C9" s="321"/>
      <c r="D9" s="391" t="s">
        <v>733</v>
      </c>
      <c r="E9" s="392" t="s">
        <v>804</v>
      </c>
      <c r="F9" s="321"/>
      <c r="G9" s="391" t="s">
        <v>562</v>
      </c>
      <c r="H9" s="325" t="s">
        <v>709</v>
      </c>
      <c r="I9" s="392" t="s">
        <v>311</v>
      </c>
    </row>
    <row r="10" spans="1:11" ht="24" customHeight="1" x14ac:dyDescent="0.45">
      <c r="B10" s="389" t="s">
        <v>319</v>
      </c>
      <c r="C10" s="321"/>
      <c r="D10" s="402" t="s">
        <v>730</v>
      </c>
      <c r="E10" s="403" t="s">
        <v>732</v>
      </c>
      <c r="F10" s="321"/>
      <c r="G10" s="455" t="s">
        <v>707</v>
      </c>
      <c r="H10" s="456" t="s">
        <v>481</v>
      </c>
      <c r="I10" s="397" t="s">
        <v>315</v>
      </c>
    </row>
    <row r="11" spans="1:11" ht="24" customHeight="1" thickBot="1" x14ac:dyDescent="0.5">
      <c r="B11" s="459" t="s">
        <v>314</v>
      </c>
      <c r="C11" s="321"/>
      <c r="D11" s="402" t="s">
        <v>727</v>
      </c>
      <c r="E11" s="403" t="s">
        <v>728</v>
      </c>
      <c r="F11" s="321"/>
      <c r="G11" s="391" t="s">
        <v>690</v>
      </c>
      <c r="H11" s="325" t="s">
        <v>709</v>
      </c>
      <c r="I11" s="392" t="s">
        <v>313</v>
      </c>
    </row>
    <row r="12" spans="1:11" ht="24" customHeight="1" thickTop="1" x14ac:dyDescent="0.45">
      <c r="B12" s="322"/>
      <c r="C12" s="321"/>
      <c r="D12" s="391" t="s">
        <v>734</v>
      </c>
      <c r="E12" s="392" t="s">
        <v>731</v>
      </c>
      <c r="F12" s="321"/>
      <c r="G12" s="391" t="s">
        <v>736</v>
      </c>
      <c r="H12" s="325" t="s">
        <v>481</v>
      </c>
      <c r="I12" s="392" t="s">
        <v>315</v>
      </c>
    </row>
    <row r="13" spans="1:11" ht="24" customHeight="1" thickBot="1" x14ac:dyDescent="0.5">
      <c r="B13" s="322"/>
      <c r="C13" s="321"/>
      <c r="D13" s="460" t="s">
        <v>733</v>
      </c>
      <c r="E13" s="461" t="s">
        <v>732</v>
      </c>
      <c r="F13" s="321"/>
      <c r="G13" s="398" t="s">
        <v>737</v>
      </c>
      <c r="H13" s="399" t="s">
        <v>481</v>
      </c>
      <c r="I13" s="400" t="s">
        <v>313</v>
      </c>
    </row>
    <row r="14" spans="1:11" ht="24" customHeight="1" thickTop="1" x14ac:dyDescent="0.45">
      <c r="B14" s="10"/>
      <c r="C14" s="321"/>
      <c r="D14" s="321"/>
      <c r="E14" s="321"/>
      <c r="F14" s="67"/>
      <c r="I14" s="233"/>
    </row>
    <row r="15" spans="1:11" ht="19.5" x14ac:dyDescent="0.25">
      <c r="D15" s="401" t="s">
        <v>773</v>
      </c>
    </row>
  </sheetData>
  <autoFilter ref="G3:I14" xr:uid="{00000000-0009-0000-0000-000011000000}"/>
  <mergeCells count="3">
    <mergeCell ref="D1:E1"/>
    <mergeCell ref="G1:I1"/>
    <mergeCell ref="A1:A6"/>
  </mergeCells>
  <hyperlinks>
    <hyperlink ref="A1:A3" location="'__ANA SAYFA'!A1" display="ANA SAYFA" xr:uid="{00000000-0004-0000-1100-000000000000}"/>
  </hyperlink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I7"/>
  <sheetViews>
    <sheetView workbookViewId="0">
      <selection activeCell="B1" sqref="B1:B2"/>
    </sheetView>
  </sheetViews>
  <sheetFormatPr defaultColWidth="9.140625" defaultRowHeight="15" x14ac:dyDescent="0.25"/>
  <cols>
    <col min="1" max="1" width="6.28515625" style="69" customWidth="1"/>
    <col min="2" max="2" width="21.7109375" style="168" customWidth="1"/>
    <col min="3" max="5" width="30.28515625" style="168" customWidth="1"/>
    <col min="6" max="6" width="6.5703125" style="2" customWidth="1"/>
    <col min="7" max="9" width="16.7109375" style="2" customWidth="1"/>
    <col min="10" max="10" width="1.7109375" style="2" customWidth="1"/>
    <col min="11" max="11" width="17.85546875" style="2" customWidth="1"/>
    <col min="12" max="12" width="1.7109375" style="2" customWidth="1"/>
    <col min="13" max="16384" width="9.140625" style="2"/>
  </cols>
  <sheetData>
    <row r="1" spans="1:9" ht="42.75" customHeight="1" x14ac:dyDescent="0.25">
      <c r="A1" s="834" t="s">
        <v>96</v>
      </c>
      <c r="B1" s="1078" t="s">
        <v>478</v>
      </c>
      <c r="C1" s="386" t="s">
        <v>588</v>
      </c>
      <c r="D1" s="386" t="s">
        <v>440</v>
      </c>
      <c r="E1" s="387" t="s">
        <v>441</v>
      </c>
      <c r="F1" s="64"/>
      <c r="G1" s="1080" t="s">
        <v>592</v>
      </c>
      <c r="H1" s="1080"/>
      <c r="I1" s="1080"/>
    </row>
    <row r="2" spans="1:9" ht="45.75" customHeight="1" x14ac:dyDescent="0.25">
      <c r="A2" s="834"/>
      <c r="B2" s="1079"/>
      <c r="C2" s="163"/>
      <c r="D2" s="139" t="s">
        <v>563</v>
      </c>
      <c r="E2" s="140" t="s">
        <v>564</v>
      </c>
      <c r="F2" s="64"/>
      <c r="G2" s="1081"/>
      <c r="H2" s="1081"/>
      <c r="I2" s="1081"/>
    </row>
    <row r="3" spans="1:9" ht="45.75" customHeight="1" x14ac:dyDescent="0.25">
      <c r="A3" s="834"/>
      <c r="B3" s="197" t="s">
        <v>589</v>
      </c>
      <c r="C3" s="239" t="s">
        <v>442</v>
      </c>
      <c r="D3" s="164"/>
      <c r="E3" s="164"/>
      <c r="F3" s="65"/>
      <c r="G3" s="514">
        <v>2018</v>
      </c>
      <c r="H3" s="514">
        <v>2019</v>
      </c>
      <c r="I3" s="514">
        <v>2020</v>
      </c>
    </row>
    <row r="4" spans="1:9" ht="45.75" customHeight="1" x14ac:dyDescent="0.25">
      <c r="B4" s="197" t="s">
        <v>590</v>
      </c>
      <c r="C4" s="239" t="s">
        <v>443</v>
      </c>
      <c r="D4" s="164"/>
      <c r="E4" s="164"/>
      <c r="F4" s="65"/>
      <c r="G4" s="238">
        <v>10</v>
      </c>
      <c r="H4" s="238">
        <v>20</v>
      </c>
      <c r="I4" s="238">
        <v>30</v>
      </c>
    </row>
    <row r="5" spans="1:9" ht="45.75" customHeight="1" x14ac:dyDescent="0.25">
      <c r="B5" s="197" t="s">
        <v>591</v>
      </c>
      <c r="C5" s="239" t="s">
        <v>444</v>
      </c>
      <c r="D5" s="164"/>
      <c r="E5" s="164"/>
      <c r="F5" s="65"/>
      <c r="G5" s="238">
        <v>10</v>
      </c>
      <c r="H5" s="238">
        <v>20</v>
      </c>
      <c r="I5" s="238">
        <v>30</v>
      </c>
    </row>
    <row r="6" spans="1:9" ht="45.75" customHeight="1" x14ac:dyDescent="0.25">
      <c r="B6" s="264" t="s">
        <v>64</v>
      </c>
      <c r="C6" s="165">
        <f>SUM(C3:C5)</f>
        <v>0</v>
      </c>
      <c r="D6" s="165">
        <f>SUM(D3:D5)</f>
        <v>0</v>
      </c>
      <c r="E6" s="166">
        <f>SUM(E3:E5)</f>
        <v>0</v>
      </c>
      <c r="F6" s="64"/>
      <c r="G6" s="193">
        <f>SUM(G3:G5)</f>
        <v>2038</v>
      </c>
      <c r="H6" s="193">
        <f t="shared" ref="H6:I6" si="0">SUM(H3:H5)</f>
        <v>2059</v>
      </c>
      <c r="I6" s="193">
        <f t="shared" si="0"/>
        <v>2080</v>
      </c>
    </row>
    <row r="7" spans="1:9" ht="11.25" customHeight="1" x14ac:dyDescent="0.25">
      <c r="B7" s="167"/>
      <c r="C7" s="167"/>
      <c r="D7" s="167"/>
      <c r="E7" s="167"/>
      <c r="F7" s="64"/>
    </row>
  </sheetData>
  <mergeCells count="3">
    <mergeCell ref="A1:A3"/>
    <mergeCell ref="B1:B2"/>
    <mergeCell ref="G1:I2"/>
  </mergeCells>
  <hyperlinks>
    <hyperlink ref="A1:A3" location="'__ANA SAYFA'!A1" display="ANA SAYFA" xr:uid="{00000000-0004-0000-1200-000000000000}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5"/>
  <dimension ref="A1:P24"/>
  <sheetViews>
    <sheetView zoomScale="85" zoomScaleNormal="85" workbookViewId="0">
      <selection sqref="A1:A6"/>
    </sheetView>
  </sheetViews>
  <sheetFormatPr defaultRowHeight="15" x14ac:dyDescent="0.25"/>
  <cols>
    <col min="1" max="1" width="6.28515625" style="69" customWidth="1"/>
    <col min="2" max="2" width="7" style="10" customWidth="1"/>
    <col min="3" max="3" width="18.5703125" style="10" customWidth="1"/>
    <col min="4" max="4" width="15.140625" style="10" customWidth="1"/>
    <col min="5" max="5" width="12" style="10" customWidth="1"/>
    <col min="6" max="6" width="17.28515625" style="10" customWidth="1"/>
    <col min="7" max="7" width="10.140625" style="10" customWidth="1"/>
    <col min="8" max="8" width="3.85546875" customWidth="1"/>
    <col min="9" max="9" width="27.140625" customWidth="1"/>
    <col min="10" max="10" width="26.5703125" customWidth="1"/>
    <col min="11" max="11" width="8.42578125" customWidth="1"/>
    <col min="12" max="12" width="16.140625" customWidth="1"/>
    <col min="13" max="13" width="21.42578125" customWidth="1"/>
    <col min="14" max="14" width="1.7109375" customWidth="1"/>
  </cols>
  <sheetData>
    <row r="1" spans="1:16" ht="24" thickTop="1" x14ac:dyDescent="0.25">
      <c r="A1" s="634" t="s">
        <v>96</v>
      </c>
      <c r="B1" s="412" t="s">
        <v>275</v>
      </c>
      <c r="C1" s="411" t="s">
        <v>307</v>
      </c>
      <c r="D1" s="365" t="s">
        <v>399</v>
      </c>
      <c r="E1" s="366" t="s">
        <v>400</v>
      </c>
      <c r="F1" s="366" t="s">
        <v>405</v>
      </c>
      <c r="G1" s="367" t="s">
        <v>432</v>
      </c>
      <c r="H1" s="60"/>
      <c r="I1" s="602" t="s">
        <v>400</v>
      </c>
      <c r="J1" s="601" t="s">
        <v>765</v>
      </c>
      <c r="K1" s="601"/>
      <c r="L1" s="601"/>
      <c r="M1" s="601"/>
      <c r="N1" s="60"/>
      <c r="O1" s="60"/>
      <c r="P1" s="60"/>
    </row>
    <row r="2" spans="1:16" ht="21.95" customHeight="1" x14ac:dyDescent="0.25">
      <c r="A2" s="634"/>
      <c r="B2" s="275">
        <v>1</v>
      </c>
      <c r="C2" s="278" t="s">
        <v>406</v>
      </c>
      <c r="D2" s="279" t="s">
        <v>401</v>
      </c>
      <c r="E2" s="276" t="s">
        <v>403</v>
      </c>
      <c r="F2" s="277" t="s">
        <v>426</v>
      </c>
      <c r="G2" s="280">
        <v>50</v>
      </c>
      <c r="H2" s="61"/>
      <c r="I2" s="601"/>
      <c r="J2" s="601"/>
      <c r="K2" s="601"/>
      <c r="L2" s="601"/>
      <c r="M2" s="601"/>
      <c r="N2" s="60"/>
      <c r="O2" s="60"/>
      <c r="P2" s="60"/>
    </row>
    <row r="3" spans="1:16" ht="28.5" x14ac:dyDescent="0.25">
      <c r="A3" s="634"/>
      <c r="B3" s="275">
        <v>2</v>
      </c>
      <c r="C3" s="278" t="s">
        <v>407</v>
      </c>
      <c r="D3" s="279" t="s">
        <v>404</v>
      </c>
      <c r="E3" s="276" t="s">
        <v>403</v>
      </c>
      <c r="F3" s="277" t="s">
        <v>427</v>
      </c>
      <c r="G3" s="280">
        <v>100</v>
      </c>
      <c r="H3" s="62"/>
      <c r="I3" s="602" t="s">
        <v>764</v>
      </c>
      <c r="J3" s="602" t="s">
        <v>801</v>
      </c>
      <c r="K3" s="601"/>
      <c r="L3" s="601"/>
      <c r="M3" s="601"/>
      <c r="N3" s="60"/>
      <c r="O3" s="60"/>
      <c r="P3" s="60"/>
    </row>
    <row r="4" spans="1:16" ht="28.5" x14ac:dyDescent="0.25">
      <c r="A4" s="634"/>
      <c r="B4" s="275">
        <v>3</v>
      </c>
      <c r="C4" s="278" t="s">
        <v>408</v>
      </c>
      <c r="D4" s="279" t="s">
        <v>409</v>
      </c>
      <c r="E4" s="276" t="s">
        <v>402</v>
      </c>
      <c r="F4" s="277" t="s">
        <v>427</v>
      </c>
      <c r="G4" s="280">
        <v>80</v>
      </c>
      <c r="H4" s="62"/>
      <c r="I4" s="604" t="s">
        <v>762</v>
      </c>
      <c r="J4" s="605" t="s">
        <v>427</v>
      </c>
      <c r="K4" s="605" t="s">
        <v>428</v>
      </c>
      <c r="L4" s="605" t="s">
        <v>426</v>
      </c>
      <c r="M4" s="605" t="s">
        <v>763</v>
      </c>
      <c r="N4" s="60"/>
      <c r="O4" s="60"/>
      <c r="P4" s="60"/>
    </row>
    <row r="5" spans="1:16" ht="37.5" x14ac:dyDescent="0.25">
      <c r="A5" s="634"/>
      <c r="B5" s="275">
        <v>4</v>
      </c>
      <c r="C5" s="278" t="s">
        <v>410</v>
      </c>
      <c r="D5" s="279" t="s">
        <v>401</v>
      </c>
      <c r="E5" s="276" t="s">
        <v>403</v>
      </c>
      <c r="F5" s="277" t="s">
        <v>428</v>
      </c>
      <c r="G5" s="280">
        <v>60</v>
      </c>
      <c r="H5" s="62"/>
      <c r="I5" s="603" t="s">
        <v>409</v>
      </c>
      <c r="J5" s="606">
        <v>230</v>
      </c>
      <c r="K5" s="606">
        <v>50</v>
      </c>
      <c r="L5" s="606">
        <v>100</v>
      </c>
      <c r="M5" s="609">
        <v>380</v>
      </c>
      <c r="N5" s="60"/>
      <c r="O5" s="368" t="s">
        <v>766</v>
      </c>
      <c r="P5" s="60"/>
    </row>
    <row r="6" spans="1:16" ht="33.75" x14ac:dyDescent="0.25">
      <c r="A6" s="634"/>
      <c r="B6" s="275">
        <v>5</v>
      </c>
      <c r="C6" s="278" t="s">
        <v>411</v>
      </c>
      <c r="D6" s="279" t="s">
        <v>404</v>
      </c>
      <c r="E6" s="276" t="s">
        <v>403</v>
      </c>
      <c r="F6" s="277" t="s">
        <v>426</v>
      </c>
      <c r="G6" s="280">
        <v>50</v>
      </c>
      <c r="H6" s="61"/>
      <c r="I6" s="607" t="s">
        <v>401</v>
      </c>
      <c r="J6" s="608"/>
      <c r="K6" s="608">
        <v>60</v>
      </c>
      <c r="L6" s="608">
        <v>150</v>
      </c>
      <c r="M6" s="609">
        <v>210</v>
      </c>
      <c r="N6" s="60"/>
      <c r="O6" s="60"/>
      <c r="P6" s="60"/>
    </row>
    <row r="7" spans="1:16" ht="28.5" x14ac:dyDescent="0.25">
      <c r="B7" s="275">
        <v>6</v>
      </c>
      <c r="C7" s="278" t="s">
        <v>412</v>
      </c>
      <c r="D7" s="279" t="s">
        <v>430</v>
      </c>
      <c r="E7" s="276" t="s">
        <v>402</v>
      </c>
      <c r="F7" s="277" t="s">
        <v>428</v>
      </c>
      <c r="G7" s="280">
        <v>70</v>
      </c>
      <c r="H7" s="62"/>
      <c r="I7" s="603" t="s">
        <v>430</v>
      </c>
      <c r="J7" s="606"/>
      <c r="K7" s="606">
        <v>70</v>
      </c>
      <c r="L7" s="606">
        <v>80</v>
      </c>
      <c r="M7" s="609">
        <v>150</v>
      </c>
      <c r="N7" s="60"/>
      <c r="O7" s="60"/>
      <c r="P7" s="60"/>
    </row>
    <row r="8" spans="1:16" ht="28.5" x14ac:dyDescent="0.25">
      <c r="B8" s="275">
        <v>7</v>
      </c>
      <c r="C8" s="278" t="s">
        <v>413</v>
      </c>
      <c r="D8" s="279" t="s">
        <v>404</v>
      </c>
      <c r="E8" s="276" t="s">
        <v>403</v>
      </c>
      <c r="F8" s="277" t="s">
        <v>426</v>
      </c>
      <c r="G8" s="280">
        <v>100</v>
      </c>
      <c r="H8" s="62"/>
      <c r="I8" s="607" t="s">
        <v>308</v>
      </c>
      <c r="J8" s="608"/>
      <c r="K8" s="608">
        <v>60</v>
      </c>
      <c r="L8" s="608">
        <v>140</v>
      </c>
      <c r="M8" s="609">
        <v>200</v>
      </c>
      <c r="N8" s="60"/>
      <c r="O8" s="60"/>
      <c r="P8" s="60"/>
    </row>
    <row r="9" spans="1:16" ht="28.5" x14ac:dyDescent="0.25">
      <c r="B9" s="275">
        <v>8</v>
      </c>
      <c r="C9" s="278" t="s">
        <v>414</v>
      </c>
      <c r="D9" s="279" t="s">
        <v>409</v>
      </c>
      <c r="E9" s="276" t="s">
        <v>402</v>
      </c>
      <c r="F9" s="277" t="s">
        <v>427</v>
      </c>
      <c r="G9" s="280">
        <v>90</v>
      </c>
      <c r="H9" s="62"/>
      <c r="I9" s="603" t="s">
        <v>404</v>
      </c>
      <c r="J9" s="606">
        <v>1310</v>
      </c>
      <c r="K9" s="606">
        <v>100</v>
      </c>
      <c r="L9" s="606">
        <v>150</v>
      </c>
      <c r="M9" s="609">
        <v>1560</v>
      </c>
      <c r="N9" s="60"/>
      <c r="O9" s="60"/>
      <c r="P9" s="60"/>
    </row>
    <row r="10" spans="1:16" ht="28.5" x14ac:dyDescent="0.25">
      <c r="B10" s="275">
        <v>9</v>
      </c>
      <c r="C10" s="278" t="s">
        <v>415</v>
      </c>
      <c r="D10" s="279" t="s">
        <v>404</v>
      </c>
      <c r="E10" s="276" t="s">
        <v>402</v>
      </c>
      <c r="F10" s="277" t="s">
        <v>427</v>
      </c>
      <c r="G10" s="280">
        <v>1050</v>
      </c>
      <c r="H10" s="63"/>
      <c r="I10" s="603" t="s">
        <v>763</v>
      </c>
      <c r="J10" s="606">
        <v>1540</v>
      </c>
      <c r="K10" s="606">
        <v>340</v>
      </c>
      <c r="L10" s="606">
        <v>620</v>
      </c>
      <c r="M10" s="606">
        <v>2500</v>
      </c>
      <c r="N10" s="60"/>
      <c r="O10" s="60"/>
      <c r="P10" s="60"/>
    </row>
    <row r="11" spans="1:16" ht="21.95" customHeight="1" x14ac:dyDescent="0.25">
      <c r="B11" s="275">
        <v>10</v>
      </c>
      <c r="C11" s="278" t="s">
        <v>416</v>
      </c>
      <c r="D11" s="279" t="s">
        <v>409</v>
      </c>
      <c r="E11" s="276" t="s">
        <v>403</v>
      </c>
      <c r="F11" s="277" t="s">
        <v>426</v>
      </c>
      <c r="G11" s="280">
        <v>100</v>
      </c>
      <c r="H11" s="62"/>
      <c r="N11" s="62"/>
      <c r="O11" s="62"/>
      <c r="P11" s="62"/>
    </row>
    <row r="12" spans="1:16" ht="21.95" customHeight="1" x14ac:dyDescent="0.25">
      <c r="B12" s="275">
        <v>11</v>
      </c>
      <c r="C12" s="278" t="s">
        <v>417</v>
      </c>
      <c r="D12" s="279" t="s">
        <v>409</v>
      </c>
      <c r="E12" s="276" t="s">
        <v>403</v>
      </c>
      <c r="F12" s="277" t="s">
        <v>427</v>
      </c>
      <c r="G12" s="280">
        <v>60</v>
      </c>
      <c r="H12" s="62"/>
      <c r="N12" s="62"/>
      <c r="O12" s="62"/>
      <c r="P12" s="62"/>
    </row>
    <row r="13" spans="1:16" ht="21.95" customHeight="1" x14ac:dyDescent="0.25">
      <c r="B13" s="275">
        <v>12</v>
      </c>
      <c r="C13" s="278" t="s">
        <v>418</v>
      </c>
      <c r="D13" s="279" t="s">
        <v>404</v>
      </c>
      <c r="E13" s="276" t="s">
        <v>403</v>
      </c>
      <c r="F13" s="277" t="s">
        <v>427</v>
      </c>
      <c r="G13" s="280">
        <v>70</v>
      </c>
      <c r="H13" s="62"/>
      <c r="N13" s="62"/>
      <c r="O13" s="62"/>
      <c r="P13" s="62"/>
    </row>
    <row r="14" spans="1:16" ht="21.95" customHeight="1" x14ac:dyDescent="0.25">
      <c r="B14" s="275">
        <v>13</v>
      </c>
      <c r="C14" s="278" t="s">
        <v>419</v>
      </c>
      <c r="D14" s="279" t="s">
        <v>404</v>
      </c>
      <c r="E14" s="276" t="s">
        <v>402</v>
      </c>
      <c r="F14" s="277" t="s">
        <v>428</v>
      </c>
      <c r="G14" s="280">
        <v>100</v>
      </c>
      <c r="H14" s="62"/>
      <c r="N14" s="62"/>
      <c r="O14" s="62"/>
      <c r="P14" s="62"/>
    </row>
    <row r="15" spans="1:16" ht="21.95" customHeight="1" x14ac:dyDescent="0.25">
      <c r="B15" s="275">
        <v>14</v>
      </c>
      <c r="C15" s="278" t="s">
        <v>420</v>
      </c>
      <c r="D15" s="279" t="s">
        <v>430</v>
      </c>
      <c r="E15" s="276" t="s">
        <v>402</v>
      </c>
      <c r="F15" s="277" t="s">
        <v>426</v>
      </c>
      <c r="G15" s="280">
        <v>80</v>
      </c>
      <c r="H15" s="62"/>
      <c r="N15" s="62"/>
      <c r="O15" s="62"/>
      <c r="P15" s="62"/>
    </row>
    <row r="16" spans="1:16" ht="21.95" customHeight="1" x14ac:dyDescent="0.25">
      <c r="B16" s="275">
        <v>15</v>
      </c>
      <c r="C16" s="278" t="s">
        <v>421</v>
      </c>
      <c r="D16" s="279" t="s">
        <v>404</v>
      </c>
      <c r="E16" s="276" t="s">
        <v>402</v>
      </c>
      <c r="F16" s="277" t="s">
        <v>427</v>
      </c>
      <c r="G16" s="280">
        <v>90</v>
      </c>
      <c r="H16" s="62"/>
      <c r="N16" s="62"/>
      <c r="O16" s="62"/>
      <c r="P16" s="62"/>
    </row>
    <row r="17" spans="2:16" ht="21.95" customHeight="1" x14ac:dyDescent="0.25">
      <c r="B17" s="275">
        <v>16</v>
      </c>
      <c r="C17" s="278" t="s">
        <v>422</v>
      </c>
      <c r="D17" s="279" t="s">
        <v>308</v>
      </c>
      <c r="E17" s="276" t="s">
        <v>403</v>
      </c>
      <c r="F17" s="277" t="s">
        <v>426</v>
      </c>
      <c r="G17" s="280">
        <v>70</v>
      </c>
      <c r="H17" s="62"/>
      <c r="N17" s="62"/>
      <c r="O17" s="62"/>
      <c r="P17" s="62"/>
    </row>
    <row r="18" spans="2:16" ht="21.95" customHeight="1" x14ac:dyDescent="0.25">
      <c r="B18" s="275">
        <v>17</v>
      </c>
      <c r="C18" s="278" t="s">
        <v>423</v>
      </c>
      <c r="D18" s="279" t="s">
        <v>409</v>
      </c>
      <c r="E18" s="276" t="s">
        <v>402</v>
      </c>
      <c r="F18" s="277" t="s">
        <v>428</v>
      </c>
      <c r="G18" s="280">
        <v>50</v>
      </c>
      <c r="H18" s="62"/>
      <c r="N18" s="62"/>
      <c r="O18" s="62"/>
      <c r="P18" s="62"/>
    </row>
    <row r="19" spans="2:16" ht="21.95" customHeight="1" x14ac:dyDescent="0.25">
      <c r="B19" s="275">
        <v>18</v>
      </c>
      <c r="C19" s="278" t="s">
        <v>424</v>
      </c>
      <c r="D19" s="279" t="s">
        <v>401</v>
      </c>
      <c r="E19" s="276" t="s">
        <v>402</v>
      </c>
      <c r="F19" s="277" t="s">
        <v>426</v>
      </c>
      <c r="G19" s="280">
        <v>100</v>
      </c>
      <c r="H19" s="62"/>
      <c r="N19" s="62"/>
      <c r="O19" s="62"/>
      <c r="P19" s="62"/>
    </row>
    <row r="20" spans="2:16" ht="21.95" customHeight="1" x14ac:dyDescent="0.25">
      <c r="B20" s="275">
        <v>19</v>
      </c>
      <c r="C20" s="278" t="s">
        <v>425</v>
      </c>
      <c r="D20" s="279" t="s">
        <v>308</v>
      </c>
      <c r="E20" s="276" t="s">
        <v>402</v>
      </c>
      <c r="F20" s="277" t="s">
        <v>426</v>
      </c>
      <c r="G20" s="280">
        <v>70</v>
      </c>
      <c r="H20" s="62"/>
      <c r="N20" s="62"/>
      <c r="O20" s="62"/>
      <c r="P20" s="62"/>
    </row>
    <row r="21" spans="2:16" ht="21.95" customHeight="1" thickBot="1" x14ac:dyDescent="0.3">
      <c r="B21" s="275">
        <v>20</v>
      </c>
      <c r="C21" s="278" t="s">
        <v>318</v>
      </c>
      <c r="D21" s="281" t="s">
        <v>308</v>
      </c>
      <c r="E21" s="282" t="s">
        <v>403</v>
      </c>
      <c r="F21" s="283" t="s">
        <v>428</v>
      </c>
      <c r="G21" s="284">
        <v>60</v>
      </c>
      <c r="H21" s="62"/>
      <c r="N21" s="62"/>
      <c r="O21" s="62"/>
      <c r="P21" s="62"/>
    </row>
    <row r="22" spans="2:16" ht="19.899999999999999" customHeight="1" thickTop="1" x14ac:dyDescent="0.4">
      <c r="C22" s="156"/>
      <c r="D22" s="156"/>
      <c r="H22" s="62"/>
      <c r="N22" s="62"/>
      <c r="O22" s="62"/>
      <c r="P22" s="62"/>
    </row>
    <row r="23" spans="2:16" ht="19.899999999999999" customHeight="1" x14ac:dyDescent="0.25"/>
    <row r="24" spans="2:16" ht="19.899999999999999" customHeight="1" x14ac:dyDescent="0.25">
      <c r="D24" s="10" t="s">
        <v>401</v>
      </c>
    </row>
  </sheetData>
  <autoFilter ref="B1:G21" xr:uid="{00000000-0009-0000-0000-000013000000}"/>
  <mergeCells count="1">
    <mergeCell ref="A1:A6"/>
  </mergeCells>
  <conditionalFormatting sqref="E2:E3">
    <cfRule type="expression" dxfId="111" priority="2">
      <formula>$K$9=$E2</formula>
    </cfRule>
  </conditionalFormatting>
  <conditionalFormatting sqref="E4:E21">
    <cfRule type="expression" dxfId="110" priority="1">
      <formula>$K$9=$E4</formula>
    </cfRule>
  </conditionalFormatting>
  <hyperlinks>
    <hyperlink ref="A1:A3" location="'__ANA SAYFA'!A1" display="ANA SAYFA" xr:uid="{00000000-0004-0000-1300-000000000000}"/>
  </hyperlinks>
  <pageMargins left="0.7" right="0.7" top="0.75" bottom="0.75" header="0.3" footer="0.3"/>
  <pageSetup paperSize="9" orientation="portrait" verticalDpi="300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T16"/>
  <sheetViews>
    <sheetView zoomScale="85" zoomScaleNormal="85" workbookViewId="0">
      <selection sqref="A1:A5"/>
    </sheetView>
  </sheetViews>
  <sheetFormatPr defaultColWidth="9.140625" defaultRowHeight="33.75" x14ac:dyDescent="0.5"/>
  <cols>
    <col min="1" max="1" width="6.7109375" style="17" customWidth="1"/>
    <col min="2" max="3" width="29.42578125" style="75" customWidth="1"/>
    <col min="4" max="4" width="19.7109375" style="76" customWidth="1"/>
    <col min="5" max="5" width="2.28515625" style="75" customWidth="1"/>
    <col min="6" max="6" width="29.5703125" style="76" customWidth="1"/>
    <col min="7" max="7" width="6.5703125" style="75" customWidth="1"/>
    <col min="8" max="13" width="15.7109375" style="75" customWidth="1"/>
    <col min="14" max="14" width="15.7109375" style="75" hidden="1" customWidth="1"/>
    <col min="15" max="15" width="2.28515625" style="75" customWidth="1"/>
    <col min="16" max="16" width="9.140625" style="75"/>
    <col min="17" max="17" width="24.42578125" style="485" customWidth="1"/>
    <col min="18" max="19" width="9.140625" style="75"/>
    <col min="20" max="20" width="24.42578125" style="485" customWidth="1"/>
    <col min="21" max="16384" width="9.140625" style="75"/>
  </cols>
  <sheetData>
    <row r="1" spans="1:20" ht="42.75" customHeight="1" x14ac:dyDescent="0.5">
      <c r="A1" s="634" t="s">
        <v>96</v>
      </c>
      <c r="B1" s="500" t="s">
        <v>478</v>
      </c>
      <c r="C1" s="500" t="s">
        <v>479</v>
      </c>
      <c r="D1" s="500" t="s">
        <v>480</v>
      </c>
      <c r="E1" s="73"/>
      <c r="F1" s="1092" t="s">
        <v>789</v>
      </c>
      <c r="G1" s="73"/>
      <c r="H1" s="1082" t="s">
        <v>705</v>
      </c>
      <c r="I1" s="307" t="s">
        <v>698</v>
      </c>
      <c r="J1" s="294"/>
      <c r="K1" s="290" t="s">
        <v>699</v>
      </c>
      <c r="L1" s="295"/>
      <c r="M1" s="291" t="s">
        <v>700</v>
      </c>
      <c r="N1" s="612" t="s">
        <v>689</v>
      </c>
      <c r="O1" s="73"/>
    </row>
    <row r="2" spans="1:20" ht="29.25" customHeight="1" x14ac:dyDescent="0.5">
      <c r="A2" s="634"/>
      <c r="B2" s="128" t="s">
        <v>562</v>
      </c>
      <c r="C2" s="489" t="s">
        <v>738</v>
      </c>
      <c r="D2" s="616" t="s">
        <v>481</v>
      </c>
      <c r="E2" s="77"/>
      <c r="F2" s="1093"/>
      <c r="G2" s="79"/>
      <c r="H2" s="1083"/>
      <c r="I2" s="296"/>
      <c r="J2" s="296"/>
      <c r="K2" s="297"/>
      <c r="L2" s="297"/>
      <c r="M2" s="298"/>
    </row>
    <row r="3" spans="1:20" ht="29.25" customHeight="1" x14ac:dyDescent="0.5">
      <c r="A3" s="634"/>
      <c r="B3" s="611" t="s">
        <v>534</v>
      </c>
      <c r="C3" s="490" t="s">
        <v>481</v>
      </c>
      <c r="D3" s="616" t="s">
        <v>481</v>
      </c>
      <c r="E3" s="77"/>
      <c r="F3" s="1093"/>
      <c r="G3" s="73"/>
      <c r="H3" s="1083"/>
      <c r="I3" s="308" t="s">
        <v>701</v>
      </c>
      <c r="J3" s="296"/>
      <c r="K3" s="292" t="s">
        <v>702</v>
      </c>
      <c r="L3" s="297"/>
      <c r="M3" s="298"/>
      <c r="Q3" s="486" t="s">
        <v>481</v>
      </c>
      <c r="T3" s="483" t="s">
        <v>481</v>
      </c>
    </row>
    <row r="4" spans="1:20" ht="29.25" customHeight="1" thickBot="1" x14ac:dyDescent="0.55000000000000004">
      <c r="A4" s="634"/>
      <c r="B4" s="327" t="s">
        <v>483</v>
      </c>
      <c r="C4" s="326" t="s">
        <v>688</v>
      </c>
      <c r="D4" s="615" t="s">
        <v>484</v>
      </c>
      <c r="E4" s="77"/>
      <c r="F4" s="492" t="s">
        <v>481</v>
      </c>
      <c r="G4" s="73"/>
      <c r="H4" s="1083"/>
      <c r="I4" s="297"/>
      <c r="J4" s="297"/>
      <c r="K4" s="297"/>
      <c r="L4" s="297"/>
      <c r="M4" s="298"/>
      <c r="Q4" s="487" t="s">
        <v>481</v>
      </c>
    </row>
    <row r="5" spans="1:20" ht="29.25" customHeight="1" thickTop="1" thickBot="1" x14ac:dyDescent="0.55000000000000004">
      <c r="A5" s="743"/>
      <c r="B5" s="329" t="s">
        <v>485</v>
      </c>
      <c r="C5" s="333" t="s">
        <v>539</v>
      </c>
      <c r="D5" s="335" t="s">
        <v>486</v>
      </c>
      <c r="E5" s="77"/>
      <c r="F5" s="614" t="s">
        <v>481</v>
      </c>
      <c r="G5" s="73"/>
      <c r="H5" s="1084"/>
      <c r="I5" s="309" t="s">
        <v>703</v>
      </c>
      <c r="J5" s="299"/>
      <c r="K5" s="300"/>
      <c r="L5" s="300"/>
      <c r="M5" s="301"/>
      <c r="Q5" s="487" t="s">
        <v>481</v>
      </c>
    </row>
    <row r="6" spans="1:20" ht="29.25" customHeight="1" thickTop="1" thickBot="1" x14ac:dyDescent="0.55000000000000004">
      <c r="B6" s="328" t="s">
        <v>487</v>
      </c>
      <c r="C6" s="331" t="s">
        <v>488</v>
      </c>
      <c r="D6" s="334" t="s">
        <v>484</v>
      </c>
      <c r="E6" s="77"/>
      <c r="G6" s="73"/>
      <c r="H6" s="73"/>
      <c r="I6" s="73"/>
      <c r="Q6" s="487" t="s">
        <v>481</v>
      </c>
      <c r="T6" s="484" t="s">
        <v>481</v>
      </c>
    </row>
    <row r="7" spans="1:20" ht="29.25" customHeight="1" thickTop="1" thickBot="1" x14ac:dyDescent="0.55000000000000004">
      <c r="B7" s="326" t="s">
        <v>690</v>
      </c>
      <c r="C7" s="332" t="s">
        <v>689</v>
      </c>
      <c r="D7" s="335" t="s">
        <v>486</v>
      </c>
      <c r="E7" s="77"/>
      <c r="F7" s="334" t="s">
        <v>739</v>
      </c>
      <c r="G7" s="73"/>
      <c r="H7" s="73"/>
      <c r="I7" s="73"/>
      <c r="Q7" s="488" t="s">
        <v>481</v>
      </c>
    </row>
    <row r="8" spans="1:20" ht="29.25" customHeight="1" thickTop="1" x14ac:dyDescent="0.5">
      <c r="B8" s="128" t="s">
        <v>489</v>
      </c>
      <c r="C8" s="491" t="s">
        <v>481</v>
      </c>
      <c r="D8" s="616" t="s">
        <v>481</v>
      </c>
      <c r="E8" s="77"/>
      <c r="F8" s="293" t="s">
        <v>490</v>
      </c>
      <c r="G8" s="73"/>
      <c r="H8" s="73"/>
      <c r="I8" s="73"/>
    </row>
    <row r="9" spans="1:20" ht="31.5" customHeight="1" x14ac:dyDescent="0.5">
      <c r="B9" s="128" t="s">
        <v>491</v>
      </c>
      <c r="C9" s="326" t="s">
        <v>488</v>
      </c>
      <c r="D9" s="334" t="s">
        <v>484</v>
      </c>
      <c r="E9" s="77"/>
      <c r="G9" s="73"/>
      <c r="H9" s="73"/>
      <c r="I9" s="73"/>
    </row>
    <row r="10" spans="1:20" ht="27.95" customHeight="1" thickBot="1" x14ac:dyDescent="0.55000000000000004">
      <c r="B10" s="73"/>
      <c r="C10" s="73"/>
      <c r="D10" s="79"/>
      <c r="E10" s="73"/>
      <c r="F10" s="1085" t="s">
        <v>782</v>
      </c>
      <c r="G10" s="1086"/>
      <c r="H10" s="1086"/>
      <c r="I10" s="1087"/>
    </row>
    <row r="11" spans="1:20" ht="27.95" customHeight="1" thickTop="1" thickBot="1" x14ac:dyDescent="0.55000000000000004">
      <c r="B11" s="336" t="s">
        <v>690</v>
      </c>
      <c r="C11" s="330" t="str">
        <f>VLOOKUP(B11,$B$2:$D$9,2,0)</f>
        <v>Tropik</v>
      </c>
      <c r="D11" s="17"/>
      <c r="E11" s="17"/>
      <c r="F11" s="303" t="s">
        <v>787</v>
      </c>
      <c r="G11" s="304"/>
      <c r="H11" s="305"/>
      <c r="I11" s="306"/>
    </row>
    <row r="12" spans="1:20" ht="27.95" customHeight="1" thickTop="1" x14ac:dyDescent="0.5">
      <c r="B12" s="17"/>
      <c r="C12" s="17"/>
      <c r="D12" s="17"/>
      <c r="E12" s="17"/>
      <c r="F12" s="303" t="s">
        <v>793</v>
      </c>
      <c r="G12" s="498"/>
      <c r="H12" s="498"/>
      <c r="I12" s="499"/>
    </row>
    <row r="13" spans="1:20" ht="27.95" customHeight="1" x14ac:dyDescent="0.5">
      <c r="A13" s="1091" t="s">
        <v>741</v>
      </c>
      <c r="B13" s="1091"/>
      <c r="C13" s="1091"/>
      <c r="D13" s="1091"/>
      <c r="F13" s="303" t="s">
        <v>788</v>
      </c>
      <c r="G13" s="498"/>
      <c r="H13" s="498"/>
      <c r="I13" s="499"/>
    </row>
    <row r="14" spans="1:20" ht="16.5" customHeight="1" x14ac:dyDescent="0.5">
      <c r="F14" s="302"/>
    </row>
    <row r="15" spans="1:20" ht="42.75" customHeight="1" x14ac:dyDescent="0.5">
      <c r="A15" s="1088" t="s">
        <v>740</v>
      </c>
      <c r="B15" s="1089"/>
      <c r="C15" s="1089"/>
      <c r="D15" s="1089"/>
      <c r="E15" s="1089"/>
      <c r="F15" s="1089"/>
      <c r="G15" s="1090"/>
      <c r="I15" s="610" t="s">
        <v>802</v>
      </c>
      <c r="J15" s="613"/>
      <c r="K15" s="610" t="s">
        <v>704</v>
      </c>
      <c r="L15" s="613"/>
    </row>
    <row r="16" spans="1:20" ht="15" customHeight="1" x14ac:dyDescent="0.5">
      <c r="A16" s="75"/>
      <c r="D16" s="75"/>
      <c r="F16" s="75"/>
    </row>
  </sheetData>
  <mergeCells count="6">
    <mergeCell ref="H1:H5"/>
    <mergeCell ref="F10:I10"/>
    <mergeCell ref="A1:A5"/>
    <mergeCell ref="A15:G15"/>
    <mergeCell ref="A13:D13"/>
    <mergeCell ref="F1:F3"/>
  </mergeCells>
  <hyperlinks>
    <hyperlink ref="A1:A3" location="'__ANA SAYFA'!A1" display="ANA SAYFA" xr:uid="{00000000-0004-0000-1400-000000000000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Y32"/>
  <sheetViews>
    <sheetView zoomScale="85" zoomScaleNormal="85" workbookViewId="0">
      <selection activeCell="P20" sqref="P20"/>
    </sheetView>
  </sheetViews>
  <sheetFormatPr defaultColWidth="8.85546875" defaultRowHeight="33.75" x14ac:dyDescent="0.5"/>
  <cols>
    <col min="1" max="1" width="6.7109375" style="17" customWidth="1"/>
    <col min="2" max="2" width="10.85546875" style="75" customWidth="1"/>
    <col min="3" max="3" width="33.5703125" style="80" customWidth="1"/>
    <col min="4" max="4" width="1.7109375" style="80" customWidth="1"/>
    <col min="5" max="5" width="23.140625" style="80" bestFit="1" customWidth="1"/>
    <col min="6" max="6" width="23.28515625" style="80" customWidth="1"/>
    <col min="7" max="7" width="1.7109375" style="80" customWidth="1"/>
    <col min="8" max="8" width="10.85546875" style="80" customWidth="1"/>
    <col min="9" max="9" width="1.7109375" style="75" customWidth="1"/>
    <col min="10" max="10" width="24.28515625" style="80" customWidth="1"/>
    <col min="11" max="11" width="1.7109375" style="75" customWidth="1"/>
    <col min="12" max="12" width="5.85546875" style="75" customWidth="1"/>
    <col min="13" max="13" width="1.7109375" style="75" customWidth="1"/>
    <col min="14" max="14" width="24.28515625" style="80" customWidth="1"/>
    <col min="15" max="15" width="1.85546875" style="75" customWidth="1"/>
    <col min="16" max="16" width="29.28515625" style="75" customWidth="1"/>
    <col min="17" max="18" width="8.42578125" style="75" customWidth="1"/>
    <col min="19" max="19" width="1.7109375" style="75" customWidth="1"/>
    <col min="20" max="21" width="8.85546875" style="75"/>
    <col min="22" max="22" width="1.7109375" style="75" customWidth="1"/>
    <col min="23" max="23" width="24" style="75" customWidth="1"/>
    <col min="24" max="24" width="28.28515625" style="75" customWidth="1"/>
    <col min="25" max="25" width="34.7109375" style="75" customWidth="1"/>
    <col min="26" max="16384" width="8.85546875" style="75"/>
  </cols>
  <sheetData>
    <row r="1" spans="1:25" ht="58.15" customHeight="1" x14ac:dyDescent="0.5">
      <c r="A1" s="634" t="s">
        <v>96</v>
      </c>
      <c r="C1" s="136" t="s">
        <v>493</v>
      </c>
      <c r="D1" s="81"/>
      <c r="E1" s="1106" t="s">
        <v>744</v>
      </c>
      <c r="F1" s="1106"/>
      <c r="G1" s="132"/>
      <c r="H1" s="84"/>
      <c r="I1" s="67"/>
      <c r="J1" s="338" t="s">
        <v>742</v>
      </c>
      <c r="K1" s="67"/>
      <c r="M1" s="67"/>
      <c r="N1" s="93" t="s">
        <v>743</v>
      </c>
      <c r="P1" s="236" t="s">
        <v>389</v>
      </c>
      <c r="Q1" s="1104">
        <v>2021</v>
      </c>
      <c r="R1" s="1105"/>
      <c r="W1" s="339">
        <v>2012</v>
      </c>
      <c r="X1" s="340"/>
    </row>
    <row r="2" spans="1:25" ht="21" customHeight="1" x14ac:dyDescent="0.5">
      <c r="A2" s="634"/>
      <c r="C2" s="346">
        <v>44323</v>
      </c>
      <c r="D2" s="82"/>
      <c r="E2" s="133" t="s">
        <v>494</v>
      </c>
      <c r="F2" s="134">
        <v>44330</v>
      </c>
      <c r="G2" s="87"/>
      <c r="H2" s="84"/>
      <c r="I2" s="83"/>
      <c r="J2" s="92">
        <v>44380</v>
      </c>
      <c r="K2" s="83"/>
      <c r="M2" s="83"/>
      <c r="N2" s="345">
        <v>44380</v>
      </c>
      <c r="P2" s="289">
        <f t="shared" ref="P2:P7" si="0">DATE($Q$1,$R2,$Q2)</f>
        <v>44197</v>
      </c>
      <c r="Q2" s="337">
        <v>1</v>
      </c>
      <c r="R2" s="337">
        <v>1</v>
      </c>
      <c r="W2" s="341">
        <f>DATE(W1,1,1)</f>
        <v>40909</v>
      </c>
      <c r="X2" s="342">
        <f>W2</f>
        <v>40909</v>
      </c>
      <c r="Y2" s="339">
        <f>WEEKNUM(W2,2)</f>
        <v>1</v>
      </c>
    </row>
    <row r="3" spans="1:25" ht="21" customHeight="1" x14ac:dyDescent="0.5">
      <c r="A3" s="634"/>
      <c r="C3" s="346">
        <f t="shared" ref="C3:C11" si="1">WORKDAY(C2,1,$P$2:$P$8)</f>
        <v>44326</v>
      </c>
      <c r="D3" s="82"/>
      <c r="E3" s="133" t="s">
        <v>495</v>
      </c>
      <c r="F3" s="134">
        <v>44337</v>
      </c>
      <c r="G3" s="87"/>
      <c r="H3" s="84"/>
      <c r="I3" s="83"/>
      <c r="J3" s="141">
        <f>EOMONTH(J2,1)</f>
        <v>44439</v>
      </c>
      <c r="K3" s="83"/>
      <c r="M3" s="83"/>
      <c r="N3" s="142">
        <f>EDATE(N2,1)</f>
        <v>44411</v>
      </c>
      <c r="P3" s="289">
        <f t="shared" si="0"/>
        <v>44309</v>
      </c>
      <c r="Q3" s="337">
        <v>23</v>
      </c>
      <c r="R3" s="337">
        <v>4</v>
      </c>
      <c r="W3" s="341">
        <f>DATE(W1,12,31)</f>
        <v>41274</v>
      </c>
      <c r="X3" s="342">
        <f>W3</f>
        <v>41274</v>
      </c>
      <c r="Y3" s="339">
        <f>WEEKNUM(W3,2)</f>
        <v>54</v>
      </c>
    </row>
    <row r="4" spans="1:25" ht="21" customHeight="1" x14ac:dyDescent="0.5">
      <c r="A4" s="634"/>
      <c r="C4" s="346">
        <f t="shared" si="1"/>
        <v>44327</v>
      </c>
      <c r="D4" s="82"/>
      <c r="E4" s="133" t="s">
        <v>496</v>
      </c>
      <c r="F4" s="404">
        <f>NETWORKDAYS(F2,F3,$P$2:$P$8)</f>
        <v>5</v>
      </c>
      <c r="G4" s="87"/>
      <c r="H4" s="84"/>
      <c r="I4" s="83"/>
      <c r="J4" s="141">
        <f t="shared" ref="J4:J9" si="2">EOMONTH(J3,1)</f>
        <v>44469</v>
      </c>
      <c r="K4" s="83"/>
      <c r="M4" s="83"/>
      <c r="N4" s="142">
        <f t="shared" ref="N4:N9" si="3">EDATE(N3,1)</f>
        <v>44442</v>
      </c>
      <c r="P4" s="289">
        <f t="shared" si="0"/>
        <v>44317</v>
      </c>
      <c r="Q4" s="337">
        <v>1</v>
      </c>
      <c r="R4" s="337">
        <v>5</v>
      </c>
    </row>
    <row r="5" spans="1:25" ht="21" customHeight="1" x14ac:dyDescent="0.5">
      <c r="A5" s="634"/>
      <c r="C5" s="346">
        <f t="shared" si="1"/>
        <v>44328</v>
      </c>
      <c r="D5" s="82"/>
      <c r="E5" s="90"/>
      <c r="F5" s="90"/>
      <c r="G5" s="91"/>
      <c r="H5" s="90"/>
      <c r="I5" s="83"/>
      <c r="J5" s="141">
        <f t="shared" si="2"/>
        <v>44500</v>
      </c>
      <c r="K5" s="83"/>
      <c r="M5" s="83"/>
      <c r="N5" s="142">
        <f t="shared" si="3"/>
        <v>44472</v>
      </c>
      <c r="P5" s="289">
        <f t="shared" si="0"/>
        <v>44335</v>
      </c>
      <c r="Q5" s="337">
        <v>19</v>
      </c>
      <c r="R5" s="337">
        <v>5</v>
      </c>
    </row>
    <row r="6" spans="1:25" ht="21" customHeight="1" x14ac:dyDescent="0.5">
      <c r="C6" s="346">
        <f t="shared" si="1"/>
        <v>44329</v>
      </c>
      <c r="D6" s="82"/>
      <c r="E6" s="90"/>
      <c r="F6" s="90"/>
      <c r="G6" s="91"/>
      <c r="H6" s="90"/>
      <c r="I6" s="83"/>
      <c r="J6" s="141">
        <f t="shared" si="2"/>
        <v>44530</v>
      </c>
      <c r="K6" s="83"/>
      <c r="M6" s="83"/>
      <c r="N6" s="142">
        <f t="shared" si="3"/>
        <v>44503</v>
      </c>
      <c r="P6" s="289">
        <f t="shared" si="0"/>
        <v>44438</v>
      </c>
      <c r="Q6" s="337">
        <v>30</v>
      </c>
      <c r="R6" s="337">
        <v>8</v>
      </c>
    </row>
    <row r="7" spans="1:25" ht="21" customHeight="1" x14ac:dyDescent="0.5">
      <c r="C7" s="346">
        <f t="shared" si="1"/>
        <v>44330</v>
      </c>
      <c r="D7" s="82"/>
      <c r="E7" s="90"/>
      <c r="F7" s="90"/>
      <c r="G7" s="91"/>
      <c r="H7" s="90"/>
      <c r="I7" s="83"/>
      <c r="J7" s="141">
        <f t="shared" si="2"/>
        <v>44561</v>
      </c>
      <c r="K7" s="83"/>
      <c r="M7" s="83"/>
      <c r="N7" s="142">
        <f t="shared" si="3"/>
        <v>44533</v>
      </c>
      <c r="P7" s="289">
        <f t="shared" si="0"/>
        <v>44498</v>
      </c>
      <c r="Q7" s="337">
        <v>29</v>
      </c>
      <c r="R7" s="337">
        <v>10</v>
      </c>
    </row>
    <row r="8" spans="1:25" ht="21" customHeight="1" x14ac:dyDescent="0.5">
      <c r="C8" s="346">
        <f t="shared" si="1"/>
        <v>44333</v>
      </c>
      <c r="D8" s="82"/>
      <c r="E8" s="90"/>
      <c r="F8" s="90"/>
      <c r="G8" s="90"/>
      <c r="H8" s="90"/>
      <c r="I8" s="83"/>
      <c r="J8" s="141">
        <f t="shared" si="2"/>
        <v>44592</v>
      </c>
      <c r="K8" s="83"/>
      <c r="M8" s="83"/>
      <c r="N8" s="142">
        <f t="shared" si="3"/>
        <v>44564</v>
      </c>
    </row>
    <row r="9" spans="1:25" ht="21" customHeight="1" x14ac:dyDescent="0.5">
      <c r="C9" s="346">
        <f t="shared" si="1"/>
        <v>44334</v>
      </c>
      <c r="D9" s="82"/>
      <c r="E9" s="84"/>
      <c r="F9" s="84"/>
      <c r="G9" s="87"/>
      <c r="H9" s="84"/>
      <c r="I9" s="83"/>
      <c r="J9" s="141">
        <f t="shared" si="2"/>
        <v>44620</v>
      </c>
      <c r="K9" s="83"/>
      <c r="M9" s="83"/>
      <c r="N9" s="142">
        <f t="shared" si="3"/>
        <v>44595</v>
      </c>
    </row>
    <row r="10" spans="1:25" ht="21" customHeight="1" x14ac:dyDescent="0.5">
      <c r="C10" s="346">
        <f t="shared" si="1"/>
        <v>44336</v>
      </c>
      <c r="D10" s="82"/>
      <c r="F10" s="86"/>
      <c r="G10" s="85"/>
      <c r="H10" s="86"/>
      <c r="I10" s="89"/>
      <c r="J10" s="86"/>
      <c r="K10" s="80"/>
      <c r="M10" s="80"/>
      <c r="N10" s="88"/>
      <c r="O10" s="78"/>
      <c r="P10" s="78"/>
      <c r="Q10" s="78"/>
    </row>
    <row r="11" spans="1:25" ht="21" customHeight="1" x14ac:dyDescent="0.5">
      <c r="C11" s="346">
        <f t="shared" si="1"/>
        <v>44337</v>
      </c>
      <c r="D11" s="82"/>
      <c r="F11" s="86"/>
      <c r="G11" s="85"/>
      <c r="H11" s="86"/>
      <c r="I11" s="89"/>
      <c r="J11" s="86"/>
      <c r="K11" s="80"/>
      <c r="M11" s="80"/>
      <c r="N11" s="88"/>
      <c r="O11" s="78"/>
      <c r="P11" s="78"/>
      <c r="Q11" s="78"/>
    </row>
    <row r="12" spans="1:25" ht="21" customHeight="1" x14ac:dyDescent="0.5">
      <c r="A12" s="131"/>
      <c r="B12" s="129"/>
      <c r="C12" s="130"/>
      <c r="D12" s="82"/>
      <c r="F12" s="86"/>
      <c r="G12" s="85"/>
      <c r="H12" s="86"/>
      <c r="I12" s="89"/>
      <c r="J12" s="86"/>
      <c r="K12" s="80"/>
      <c r="M12" s="80"/>
      <c r="N12" s="88"/>
      <c r="O12" s="78"/>
      <c r="P12" s="78"/>
      <c r="Q12" s="78"/>
    </row>
    <row r="13" spans="1:25" ht="21" customHeight="1" x14ac:dyDescent="0.5">
      <c r="A13" s="131"/>
      <c r="B13" s="129"/>
      <c r="C13" s="130"/>
      <c r="D13" s="82"/>
      <c r="I13" s="80"/>
      <c r="K13" s="80"/>
      <c r="M13" s="80"/>
      <c r="O13" s="80"/>
      <c r="P13" s="80"/>
      <c r="Q13" s="80"/>
    </row>
    <row r="14" spans="1:25" ht="21" customHeight="1" x14ac:dyDescent="0.5">
      <c r="A14" s="131"/>
      <c r="B14" s="129"/>
      <c r="C14" s="130"/>
      <c r="D14" s="82"/>
      <c r="E14" s="1107" t="s">
        <v>745</v>
      </c>
      <c r="F14" s="1108"/>
      <c r="G14" s="273"/>
      <c r="H14" s="272" t="s">
        <v>388</v>
      </c>
      <c r="I14" s="83"/>
      <c r="J14" s="84"/>
      <c r="K14" s="84"/>
      <c r="L14" s="135"/>
      <c r="M14" s="135"/>
      <c r="N14" s="135"/>
      <c r="O14" s="135"/>
      <c r="P14" s="135"/>
      <c r="Q14" s="1111" t="s">
        <v>746</v>
      </c>
      <c r="R14" s="1112"/>
    </row>
    <row r="15" spans="1:25" ht="21" customHeight="1" x14ac:dyDescent="0.5">
      <c r="D15" s="82"/>
      <c r="E15" s="1109">
        <f>J3</f>
        <v>44439</v>
      </c>
      <c r="F15" s="1110"/>
      <c r="G15" s="273"/>
      <c r="H15" s="344">
        <f>WEEKDAY(J3,2)</f>
        <v>2</v>
      </c>
      <c r="I15" s="83"/>
      <c r="J15" s="84"/>
      <c r="K15" s="84"/>
      <c r="L15" s="135"/>
      <c r="M15" s="135"/>
      <c r="N15" s="135"/>
      <c r="O15" s="135"/>
      <c r="P15" s="135"/>
      <c r="Q15" s="1094">
        <f>WEEKNUM(P2,2)</f>
        <v>1</v>
      </c>
      <c r="R15" s="1095"/>
    </row>
    <row r="16" spans="1:25" ht="21" customHeight="1" x14ac:dyDescent="0.5">
      <c r="A16" s="1098" t="s">
        <v>774</v>
      </c>
      <c r="B16" s="1099"/>
      <c r="C16" s="1100"/>
      <c r="D16" s="82"/>
      <c r="E16" s="1109">
        <f t="shared" ref="E16:E20" si="4">J4</f>
        <v>44469</v>
      </c>
      <c r="F16" s="1110"/>
      <c r="G16" s="273"/>
      <c r="H16" s="344">
        <f t="shared" ref="H16:H20" si="5">WEEKDAY(J4,2)</f>
        <v>4</v>
      </c>
      <c r="I16" s="83"/>
      <c r="J16" s="84"/>
      <c r="K16" s="84"/>
      <c r="L16" s="135"/>
      <c r="M16" s="135"/>
      <c r="N16" s="135"/>
      <c r="O16" s="135"/>
      <c r="P16" s="135"/>
      <c r="Q16" s="1094">
        <f t="shared" ref="Q16:Q20" si="6">WEEKNUM(P3,2)</f>
        <v>17</v>
      </c>
      <c r="R16" s="1095"/>
    </row>
    <row r="17" spans="1:18" ht="21" customHeight="1" x14ac:dyDescent="0.5">
      <c r="A17" s="1101"/>
      <c r="B17" s="1102"/>
      <c r="C17" s="1103"/>
      <c r="D17" s="82"/>
      <c r="E17" s="1109">
        <f t="shared" si="4"/>
        <v>44500</v>
      </c>
      <c r="F17" s="1110"/>
      <c r="G17" s="273"/>
      <c r="H17" s="344">
        <f t="shared" si="5"/>
        <v>7</v>
      </c>
      <c r="I17" s="83"/>
      <c r="P17" s="343" t="s">
        <v>747</v>
      </c>
      <c r="Q17" s="1094">
        <f t="shared" si="6"/>
        <v>18</v>
      </c>
      <c r="R17" s="1095"/>
    </row>
    <row r="18" spans="1:18" ht="21" customHeight="1" x14ac:dyDescent="0.5">
      <c r="A18" s="1096" t="s">
        <v>494</v>
      </c>
      <c r="B18" s="1097"/>
      <c r="C18" s="406">
        <v>44330</v>
      </c>
      <c r="D18" s="82"/>
      <c r="E18" s="1109">
        <f t="shared" si="4"/>
        <v>44530</v>
      </c>
      <c r="F18" s="1110"/>
      <c r="G18" s="273"/>
      <c r="H18" s="344">
        <f t="shared" si="5"/>
        <v>2</v>
      </c>
      <c r="I18" s="273"/>
      <c r="J18" s="273"/>
      <c r="K18" s="273"/>
      <c r="L18" s="273"/>
      <c r="M18" s="273"/>
      <c r="N18" s="273"/>
      <c r="O18" s="273"/>
      <c r="P18" s="343" t="s">
        <v>748</v>
      </c>
      <c r="Q18" s="1094">
        <f t="shared" si="6"/>
        <v>21</v>
      </c>
      <c r="R18" s="1095"/>
    </row>
    <row r="19" spans="1:18" ht="21" customHeight="1" x14ac:dyDescent="0.5">
      <c r="A19" s="1096" t="s">
        <v>496</v>
      </c>
      <c r="B19" s="1097"/>
      <c r="C19" s="407">
        <v>4</v>
      </c>
      <c r="D19" s="82"/>
      <c r="E19" s="1109">
        <f t="shared" si="4"/>
        <v>44561</v>
      </c>
      <c r="F19" s="1110"/>
      <c r="G19" s="273"/>
      <c r="H19" s="344">
        <f t="shared" si="5"/>
        <v>5</v>
      </c>
      <c r="I19" s="273"/>
      <c r="J19" s="273"/>
      <c r="K19" s="273"/>
      <c r="L19" s="273"/>
      <c r="M19" s="273"/>
      <c r="N19" s="273"/>
      <c r="O19" s="273"/>
      <c r="P19" s="343" t="s">
        <v>749</v>
      </c>
      <c r="Q19" s="1094">
        <f t="shared" si="6"/>
        <v>36</v>
      </c>
      <c r="R19" s="1095"/>
    </row>
    <row r="20" spans="1:18" ht="21" customHeight="1" x14ac:dyDescent="0.5">
      <c r="A20" s="1096" t="s">
        <v>495</v>
      </c>
      <c r="B20" s="1097"/>
      <c r="C20" s="405">
        <f>WORKDAY(C18,C19,P$2:P$8)</f>
        <v>44337</v>
      </c>
      <c r="E20" s="1109">
        <f t="shared" si="4"/>
        <v>44592</v>
      </c>
      <c r="F20" s="1110"/>
      <c r="G20" s="273"/>
      <c r="H20" s="344">
        <f t="shared" si="5"/>
        <v>1</v>
      </c>
      <c r="I20" s="273"/>
      <c r="J20" s="273"/>
      <c r="K20" s="273"/>
      <c r="L20" s="273"/>
      <c r="M20" s="273"/>
      <c r="N20" s="273"/>
      <c r="O20" s="273"/>
      <c r="P20" s="515">
        <v>41274</v>
      </c>
      <c r="Q20" s="1094">
        <f t="shared" si="6"/>
        <v>44</v>
      </c>
      <c r="R20" s="1095"/>
    </row>
    <row r="21" spans="1:18" ht="19.149999999999999" customHeight="1" x14ac:dyDescent="0.5">
      <c r="B21" s="80"/>
      <c r="E21" s="84"/>
      <c r="F21" s="84"/>
      <c r="G21" s="87"/>
      <c r="H21" s="84"/>
      <c r="I21" s="80"/>
    </row>
    <row r="22" spans="1:18" ht="19.899999999999999" customHeight="1" x14ac:dyDescent="0.5">
      <c r="B22" s="80"/>
      <c r="E22" s="84"/>
      <c r="F22" s="84"/>
      <c r="G22" s="87"/>
      <c r="H22" s="84"/>
      <c r="I22" s="80"/>
      <c r="N22" s="75"/>
    </row>
    <row r="23" spans="1:18" x14ac:dyDescent="0.5">
      <c r="E23" s="84"/>
      <c r="F23" s="84"/>
      <c r="G23" s="84"/>
      <c r="H23" s="84"/>
      <c r="N23" s="75"/>
    </row>
    <row r="24" spans="1:18" x14ac:dyDescent="0.5">
      <c r="J24" s="75"/>
      <c r="K24" s="80"/>
      <c r="L24" s="80"/>
      <c r="M24" s="80"/>
    </row>
    <row r="25" spans="1:18" x14ac:dyDescent="0.5">
      <c r="J25" s="75"/>
      <c r="K25" s="80"/>
      <c r="L25" s="80"/>
      <c r="M25" s="80"/>
    </row>
    <row r="26" spans="1:18" x14ac:dyDescent="0.5">
      <c r="E26" s="75"/>
      <c r="F26" s="75"/>
    </row>
    <row r="27" spans="1:18" x14ac:dyDescent="0.5">
      <c r="E27" s="75"/>
      <c r="F27" s="75"/>
    </row>
    <row r="28" spans="1:18" x14ac:dyDescent="0.5">
      <c r="E28" s="75"/>
      <c r="F28" s="75"/>
    </row>
    <row r="29" spans="1:18" x14ac:dyDescent="0.5">
      <c r="E29" s="75"/>
      <c r="F29" s="75"/>
    </row>
    <row r="30" spans="1:18" x14ac:dyDescent="0.5">
      <c r="E30" s="75"/>
      <c r="F30" s="75"/>
    </row>
    <row r="31" spans="1:18" x14ac:dyDescent="0.5">
      <c r="E31" s="75"/>
      <c r="F31" s="75"/>
    </row>
    <row r="32" spans="1:18" x14ac:dyDescent="0.5">
      <c r="E32" s="75"/>
      <c r="F32" s="75"/>
    </row>
  </sheetData>
  <mergeCells count="21">
    <mergeCell ref="A18:B18"/>
    <mergeCell ref="A19:B19"/>
    <mergeCell ref="A20:B20"/>
    <mergeCell ref="A16:C17"/>
    <mergeCell ref="Q1:R1"/>
    <mergeCell ref="E1:F1"/>
    <mergeCell ref="A1:A5"/>
    <mergeCell ref="E14:F14"/>
    <mergeCell ref="E15:F15"/>
    <mergeCell ref="E16:F16"/>
    <mergeCell ref="E17:F17"/>
    <mergeCell ref="E18:F18"/>
    <mergeCell ref="E19:F19"/>
    <mergeCell ref="E20:F20"/>
    <mergeCell ref="Q14:R14"/>
    <mergeCell ref="Q15:R15"/>
    <mergeCell ref="Q16:R16"/>
    <mergeCell ref="Q17:R17"/>
    <mergeCell ref="Q18:R18"/>
    <mergeCell ref="Q19:R19"/>
    <mergeCell ref="Q20:R20"/>
  </mergeCells>
  <conditionalFormatting sqref="C3:C11">
    <cfRule type="expression" dxfId="4" priority="8">
      <formula>($C3-$C2)&gt;1</formula>
    </cfRule>
  </conditionalFormatting>
  <conditionalFormatting sqref="C19">
    <cfRule type="expression" dxfId="3" priority="13">
      <formula>#REF!=#REF!</formula>
    </cfRule>
  </conditionalFormatting>
  <conditionalFormatting sqref="F4">
    <cfRule type="expression" dxfId="2" priority="17">
      <formula>#REF!=#REF!</formula>
    </cfRule>
  </conditionalFormatting>
  <conditionalFormatting sqref="H15:H20">
    <cfRule type="expression" dxfId="1" priority="22">
      <formula>#REF!=$H15</formula>
    </cfRule>
  </conditionalFormatting>
  <hyperlinks>
    <hyperlink ref="A1:A2" location="'__ANA SAYFA'!A1" display="ANA SAYFA" xr:uid="{00000000-0004-0000-1500-000000000000}"/>
  </hyperlinks>
  <pageMargins left="0.7" right="0.7" top="0.75" bottom="0.75" header="0.3" footer="0.3"/>
  <pageSetup paperSize="9" orientation="portrait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L29"/>
  <sheetViews>
    <sheetView zoomScale="85" zoomScaleNormal="85" workbookViewId="0">
      <selection activeCell="J1" sqref="J1"/>
    </sheetView>
  </sheetViews>
  <sheetFormatPr defaultColWidth="9.140625" defaultRowHeight="15" x14ac:dyDescent="0.25"/>
  <cols>
    <col min="1" max="1" width="10.85546875" style="2" customWidth="1"/>
    <col min="2" max="2" width="30" style="2" customWidth="1"/>
    <col min="3" max="3" width="16.140625" style="2" customWidth="1"/>
    <col min="4" max="4" width="19" style="2" customWidth="1"/>
    <col min="5" max="5" width="15.85546875" style="2" customWidth="1"/>
    <col min="6" max="6" width="20.28515625" style="2" customWidth="1"/>
    <col min="7" max="7" width="17.7109375" style="2" customWidth="1"/>
    <col min="8" max="8" width="27.28515625" style="2" customWidth="1"/>
    <col min="9" max="9" width="2.7109375" style="17" customWidth="1"/>
    <col min="10" max="10" width="8.42578125" style="2" customWidth="1"/>
    <col min="11" max="14" width="17.28515625" style="2" customWidth="1"/>
    <col min="15" max="16384" width="9.140625" style="2"/>
  </cols>
  <sheetData>
    <row r="1" spans="1:12" ht="27.75" customHeight="1" x14ac:dyDescent="0.25">
      <c r="A1" s="743" t="s">
        <v>96</v>
      </c>
      <c r="B1" s="408" t="s">
        <v>754</v>
      </c>
      <c r="C1" s="408" t="s">
        <v>755</v>
      </c>
      <c r="D1" s="408" t="s">
        <v>327</v>
      </c>
      <c r="E1" s="408" t="s">
        <v>499</v>
      </c>
      <c r="F1" s="408" t="s">
        <v>326</v>
      </c>
      <c r="G1" s="408" t="s">
        <v>500</v>
      </c>
      <c r="H1" s="408" t="s">
        <v>794</v>
      </c>
      <c r="K1" s="516" t="s">
        <v>691</v>
      </c>
      <c r="L1" s="516" t="s">
        <v>692</v>
      </c>
    </row>
    <row r="2" spans="1:12" ht="24.95" customHeight="1" x14ac:dyDescent="0.25">
      <c r="A2" s="743"/>
      <c r="B2" s="347" t="s">
        <v>501</v>
      </c>
      <c r="C2" s="94">
        <v>3</v>
      </c>
      <c r="D2" s="95">
        <v>100</v>
      </c>
      <c r="E2" s="96" t="s">
        <v>502</v>
      </c>
      <c r="F2" s="97">
        <v>44242</v>
      </c>
      <c r="G2" s="98">
        <v>0.79166666666666663</v>
      </c>
      <c r="H2" s="94">
        <v>250</v>
      </c>
      <c r="I2" s="60"/>
      <c r="K2" s="274">
        <v>1</v>
      </c>
      <c r="L2" s="274">
        <v>100</v>
      </c>
    </row>
    <row r="3" spans="1:12" ht="24.95" customHeight="1" x14ac:dyDescent="0.25">
      <c r="A3" s="743"/>
      <c r="B3" s="347" t="s">
        <v>504</v>
      </c>
      <c r="C3" s="94">
        <v>1</v>
      </c>
      <c r="D3" s="95">
        <v>500</v>
      </c>
      <c r="E3" s="96" t="s">
        <v>503</v>
      </c>
      <c r="F3" s="97">
        <v>43319</v>
      </c>
      <c r="G3" s="98">
        <v>0.88541666666666663</v>
      </c>
      <c r="H3" s="94">
        <v>100</v>
      </c>
      <c r="K3" s="274">
        <v>2</v>
      </c>
      <c r="L3" s="274">
        <v>150</v>
      </c>
    </row>
    <row r="4" spans="1:12" ht="24.95" customHeight="1" x14ac:dyDescent="0.25">
      <c r="A4" s="743"/>
      <c r="B4" s="347" t="s">
        <v>506</v>
      </c>
      <c r="C4" s="94">
        <v>2</v>
      </c>
      <c r="D4" s="95">
        <v>750</v>
      </c>
      <c r="E4" s="96" t="s">
        <v>503</v>
      </c>
      <c r="F4" s="97">
        <v>43320</v>
      </c>
      <c r="G4" s="98">
        <v>0.75</v>
      </c>
      <c r="H4" s="94">
        <v>150</v>
      </c>
      <c r="K4" s="274">
        <v>3</v>
      </c>
      <c r="L4" s="274">
        <v>250</v>
      </c>
    </row>
    <row r="5" spans="1:12" ht="24.95" customHeight="1" x14ac:dyDescent="0.25">
      <c r="A5" s="743"/>
      <c r="B5" s="347" t="s">
        <v>507</v>
      </c>
      <c r="C5" s="94">
        <v>3</v>
      </c>
      <c r="D5" s="95">
        <v>600</v>
      </c>
      <c r="E5" s="96" t="s">
        <v>505</v>
      </c>
      <c r="F5" s="97">
        <v>43342</v>
      </c>
      <c r="G5" s="98">
        <v>0.95833333333333337</v>
      </c>
      <c r="H5" s="94">
        <v>250</v>
      </c>
    </row>
    <row r="6" spans="1:12" ht="24.95" customHeight="1" x14ac:dyDescent="0.25">
      <c r="A6" s="743"/>
      <c r="B6" s="347" t="s">
        <v>508</v>
      </c>
      <c r="C6" s="94">
        <v>1</v>
      </c>
      <c r="D6" s="95">
        <v>1000</v>
      </c>
      <c r="E6" s="96" t="s">
        <v>524</v>
      </c>
      <c r="F6" s="97">
        <v>43322</v>
      </c>
      <c r="G6" s="98">
        <v>0.79166666666666663</v>
      </c>
      <c r="H6" s="94">
        <v>100</v>
      </c>
    </row>
    <row r="7" spans="1:12" ht="24.95" customHeight="1" x14ac:dyDescent="0.25">
      <c r="B7" s="347" t="s">
        <v>509</v>
      </c>
      <c r="C7" s="94">
        <v>2</v>
      </c>
      <c r="D7" s="95">
        <v>1500</v>
      </c>
      <c r="E7" s="96" t="s">
        <v>502</v>
      </c>
      <c r="F7" s="97">
        <v>43327</v>
      </c>
      <c r="G7" s="98">
        <v>0.83333333333333337</v>
      </c>
      <c r="H7" s="94">
        <v>150</v>
      </c>
    </row>
    <row r="8" spans="1:12" ht="18.75" customHeight="1" x14ac:dyDescent="0.25"/>
    <row r="9" spans="1:12" ht="26.1" customHeight="1" x14ac:dyDescent="0.25">
      <c r="A9" s="1116" t="s">
        <v>752</v>
      </c>
      <c r="B9" s="409" t="s">
        <v>517</v>
      </c>
      <c r="C9" s="409" t="s">
        <v>518</v>
      </c>
      <c r="D9" s="409" t="s">
        <v>519</v>
      </c>
      <c r="E9" s="409" t="s">
        <v>520</v>
      </c>
      <c r="F9" s="409" t="s">
        <v>497</v>
      </c>
      <c r="G9" s="409" t="s">
        <v>521</v>
      </c>
      <c r="H9" s="409" t="s">
        <v>510</v>
      </c>
    </row>
    <row r="10" spans="1:12" ht="21.75" customHeight="1" x14ac:dyDescent="0.25">
      <c r="A10" s="1117"/>
      <c r="B10" s="349">
        <v>5</v>
      </c>
      <c r="C10" s="350">
        <v>1</v>
      </c>
      <c r="D10" s="351">
        <v>99.99</v>
      </c>
      <c r="E10" s="350" t="s">
        <v>502</v>
      </c>
      <c r="F10" s="350" t="s">
        <v>522</v>
      </c>
      <c r="G10" s="352" t="s">
        <v>695</v>
      </c>
      <c r="H10" s="1113" t="s">
        <v>759</v>
      </c>
    </row>
    <row r="11" spans="1:12" ht="21.75" customHeight="1" x14ac:dyDescent="0.25">
      <c r="A11" s="1117"/>
      <c r="B11" s="353">
        <v>20</v>
      </c>
      <c r="C11" s="354">
        <v>3</v>
      </c>
      <c r="D11" s="355">
        <v>1000</v>
      </c>
      <c r="E11" s="354" t="s">
        <v>505</v>
      </c>
      <c r="F11" s="363" t="s">
        <v>760</v>
      </c>
      <c r="G11" s="356" t="s">
        <v>694</v>
      </c>
      <c r="H11" s="1114"/>
    </row>
    <row r="12" spans="1:12" ht="21.75" customHeight="1" x14ac:dyDescent="0.25">
      <c r="A12" s="1117"/>
      <c r="B12" s="357"/>
      <c r="C12" s="354"/>
      <c r="D12" s="355"/>
      <c r="E12" s="354" t="s">
        <v>503</v>
      </c>
      <c r="F12" s="354"/>
      <c r="G12" s="358"/>
      <c r="H12" s="1114"/>
    </row>
    <row r="13" spans="1:12" ht="21.75" customHeight="1" x14ac:dyDescent="0.25">
      <c r="A13" s="1118"/>
      <c r="B13" s="359"/>
      <c r="C13" s="360"/>
      <c r="D13" s="361"/>
      <c r="E13" s="360" t="s">
        <v>524</v>
      </c>
      <c r="F13" s="360"/>
      <c r="G13" s="362"/>
      <c r="H13" s="1115"/>
    </row>
    <row r="14" spans="1:12" ht="51.75" customHeight="1" x14ac:dyDescent="0.25">
      <c r="A14" s="410" t="s">
        <v>511</v>
      </c>
      <c r="B14" s="462" t="s">
        <v>498</v>
      </c>
      <c r="C14" s="462" t="s">
        <v>750</v>
      </c>
      <c r="D14" s="462" t="s">
        <v>512</v>
      </c>
      <c r="E14" s="462" t="s">
        <v>756</v>
      </c>
      <c r="F14" s="462" t="s">
        <v>757</v>
      </c>
      <c r="G14" s="462" t="s">
        <v>751</v>
      </c>
      <c r="H14" s="463" t="s">
        <v>692</v>
      </c>
    </row>
    <row r="15" spans="1:12" ht="91.5" customHeight="1" x14ac:dyDescent="0.25">
      <c r="A15" s="410" t="s">
        <v>753</v>
      </c>
      <c r="B15" s="364" t="s">
        <v>758</v>
      </c>
      <c r="C15" s="364" t="s">
        <v>761</v>
      </c>
      <c r="D15" s="364" t="s">
        <v>513</v>
      </c>
      <c r="E15" s="364" t="s">
        <v>514</v>
      </c>
      <c r="F15" s="364" t="s">
        <v>515</v>
      </c>
      <c r="G15" s="364" t="s">
        <v>516</v>
      </c>
      <c r="H15" s="348" t="s">
        <v>783</v>
      </c>
    </row>
    <row r="16" spans="1:12" ht="27" customHeight="1" x14ac:dyDescent="0.25">
      <c r="H16" s="137"/>
    </row>
    <row r="22" spans="5:8" ht="9.75" customHeight="1" x14ac:dyDescent="0.25">
      <c r="E22" s="99"/>
      <c r="G22" s="100"/>
      <c r="H22" s="101"/>
    </row>
    <row r="23" spans="5:8" ht="15" customHeight="1" x14ac:dyDescent="0.25">
      <c r="E23" s="99"/>
      <c r="G23" s="100"/>
      <c r="H23" s="138"/>
    </row>
    <row r="24" spans="5:8" ht="18" customHeight="1" x14ac:dyDescent="0.25"/>
    <row r="25" spans="5:8" ht="18" customHeight="1" x14ac:dyDescent="0.25"/>
    <row r="26" spans="5:8" ht="18" customHeight="1" x14ac:dyDescent="0.25"/>
    <row r="28" spans="5:8" ht="14.45" customHeight="1" x14ac:dyDescent="0.25"/>
    <row r="29" spans="5:8" ht="14.45" customHeight="1" x14ac:dyDescent="0.25"/>
  </sheetData>
  <mergeCells count="3">
    <mergeCell ref="A1:A6"/>
    <mergeCell ref="H10:H13"/>
    <mergeCell ref="A9:A13"/>
  </mergeCells>
  <dataValidations disablePrompts="1" count="7">
    <dataValidation type="decimal" allowBlank="1" showInputMessage="1" showErrorMessage="1" error="Tutar 99,99 arasında 1000 olmalıdır" prompt="TL Tutar" sqref="D2:D7" xr:uid="{00000000-0002-0000-1600-000000000000}">
      <formula1>99.99</formula1>
      <formula2>1000</formula2>
    </dataValidation>
    <dataValidation type="list" allowBlank="1" showInputMessage="1" showErrorMessage="1" prompt="Ürün Grubu" sqref="E2:E7" xr:uid="{00000000-0002-0000-1600-000001000000}">
      <formula1>"İş,Mizah,Sağlık,Roman"</formula1>
    </dataValidation>
    <dataValidation type="whole" allowBlank="1" showInputMessage="1" showErrorMessage="1" error="Koli adedi 1, 2 veya 3 olabilir" prompt="Koli Girişi" sqref="C2:C7" xr:uid="{00000000-0002-0000-1600-000002000000}">
      <formula1>1</formula1>
      <formula2>3</formula2>
    </dataValidation>
    <dataValidation type="date" operator="equal" allowBlank="1" showInputMessage="1" showErrorMessage="1" error="Yarının Tarihi yazılmalı" prompt="Sevk Tarihi" sqref="F2:F7" xr:uid="{00000000-0002-0000-1600-000003000000}">
      <formula1>TODAY()+1</formula1>
    </dataValidation>
    <dataValidation type="time" allowBlank="1" showInputMessage="1" showErrorMessage="1" error="Sevk Saati 17:00 ile 21:00 arasında olmalı" prompt="Sevk Saati" sqref="G2:G7" xr:uid="{00000000-0002-0000-1600-000004000000}">
      <formula1>0.708333333333333</formula1>
      <formula2>0.875</formula2>
    </dataValidation>
    <dataValidation type="textLength" errorStyle="warning" allowBlank="1" showInputMessage="1" showErrorMessage="1" errorTitle="EXCEL SIZE" error="Kitap Adı en az 5, en fazla 20 karakter olabilir" prompt="Kitap Adı" sqref="B2:B7" xr:uid="{00000000-0002-0000-1600-000005000000}">
      <formula1>$B$10</formula1>
      <formula2>$B$11</formula2>
    </dataValidation>
    <dataValidation type="custom" operator="greaterThanOrEqual" showInputMessage="1" showErrorMessage="1" error="Hacim miktarını doğru yazınız" prompt="Hacim" sqref="H2:H7" xr:uid="{00000000-0002-0000-1600-000006000000}">
      <formula1>H2=VLOOKUP(C2,$K$2:$L$4,2,0)</formula1>
    </dataValidation>
  </dataValidations>
  <hyperlinks>
    <hyperlink ref="A1:A2" location="'__ANA SAYFA'!A1" display="ANA SAYFA" xr:uid="{00000000-0004-0000-1600-000000000000}"/>
  </hyperlink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7"/>
  <dimension ref="A1:V24"/>
  <sheetViews>
    <sheetView zoomScale="85" zoomScaleNormal="85" workbookViewId="0">
      <selection activeCell="B1" sqref="B1"/>
    </sheetView>
  </sheetViews>
  <sheetFormatPr defaultRowHeight="15" x14ac:dyDescent="0.25"/>
  <cols>
    <col min="1" max="1" width="6.28515625" style="69" customWidth="1"/>
    <col min="2" max="2" width="8" style="10" customWidth="1"/>
    <col min="3" max="3" width="23.28515625" style="10" customWidth="1"/>
    <col min="4" max="4" width="17" style="10" customWidth="1"/>
    <col min="5" max="5" width="18.28515625" style="10" customWidth="1"/>
    <col min="6" max="6" width="19.7109375" style="10" customWidth="1"/>
    <col min="7" max="7" width="13.42578125" style="10" customWidth="1"/>
    <col min="8" max="8" width="9.7109375" customWidth="1"/>
    <col min="9" max="9" width="20.85546875" style="57" customWidth="1"/>
    <col min="10" max="10" width="16.85546875" customWidth="1"/>
    <col min="11" max="11" width="20.85546875" customWidth="1"/>
    <col min="12" max="13" width="13.42578125" customWidth="1"/>
    <col min="14" max="14" width="9.5703125" customWidth="1"/>
    <col min="15" max="15" width="1.7109375" customWidth="1"/>
    <col min="18" max="21" width="5.7109375" customWidth="1"/>
  </cols>
  <sheetData>
    <row r="1" spans="1:22" ht="26.1" customHeight="1" thickBot="1" x14ac:dyDescent="0.4">
      <c r="A1" s="634" t="s">
        <v>96</v>
      </c>
      <c r="B1" s="382" t="s">
        <v>275</v>
      </c>
      <c r="C1" s="382" t="s">
        <v>307</v>
      </c>
      <c r="D1" s="592" t="s">
        <v>399</v>
      </c>
      <c r="E1" s="382" t="s">
        <v>400</v>
      </c>
      <c r="F1" s="382" t="s">
        <v>405</v>
      </c>
      <c r="G1" s="382" t="s">
        <v>432</v>
      </c>
      <c r="H1" s="60"/>
      <c r="I1" s="383" t="s">
        <v>431</v>
      </c>
      <c r="J1" s="384" t="s">
        <v>432</v>
      </c>
      <c r="K1" s="384" t="s">
        <v>426</v>
      </c>
      <c r="L1" s="384" t="s">
        <v>428</v>
      </c>
      <c r="M1" s="384" t="s">
        <v>427</v>
      </c>
      <c r="N1" s="493" t="s">
        <v>785</v>
      </c>
      <c r="O1" s="10"/>
      <c r="P1" s="10"/>
      <c r="Q1" s="253"/>
      <c r="R1" s="319" t="s">
        <v>399</v>
      </c>
      <c r="S1" s="319" t="s">
        <v>405</v>
      </c>
      <c r="T1" s="319" t="s">
        <v>683</v>
      </c>
      <c r="U1" s="319" t="s">
        <v>432</v>
      </c>
      <c r="V1" s="259" t="s">
        <v>681</v>
      </c>
    </row>
    <row r="2" spans="1:22" ht="20.45" customHeight="1" thickTop="1" x14ac:dyDescent="0.35">
      <c r="A2" s="634"/>
      <c r="B2" s="453">
        <v>1</v>
      </c>
      <c r="C2" s="588" t="s">
        <v>406</v>
      </c>
      <c r="D2" s="593" t="s">
        <v>401</v>
      </c>
      <c r="E2" s="590" t="s">
        <v>403</v>
      </c>
      <c r="F2" s="454" t="s">
        <v>426</v>
      </c>
      <c r="G2" s="454">
        <v>50</v>
      </c>
      <c r="H2" s="61"/>
      <c r="I2" s="195" t="s">
        <v>404</v>
      </c>
      <c r="J2" s="262">
        <f>SUMIF($D$2:$D$21,$I2,$G$2:$G$21)</f>
        <v>560</v>
      </c>
      <c r="K2" s="157">
        <f>SUMIFS($G$2:$G$21,$D$2:$D$21,$I2,$F$2:$F$21,K$1)</f>
        <v>150</v>
      </c>
      <c r="L2" s="157">
        <f t="shared" ref="L2:M6" si="0">SUMIFS($G$2:$G$21,$D$2:$D$21,$I2,$F$2:$F$21,L$1)</f>
        <v>100</v>
      </c>
      <c r="M2" s="157">
        <f t="shared" si="0"/>
        <v>310</v>
      </c>
      <c r="N2" s="496">
        <f>COUNTIF($D$2:$D$21,I2)</f>
        <v>7</v>
      </c>
      <c r="O2" s="10"/>
      <c r="P2" s="10"/>
      <c r="Q2" s="257" t="s">
        <v>672</v>
      </c>
      <c r="R2" s="258" t="s">
        <v>682</v>
      </c>
      <c r="S2" s="258" t="s">
        <v>682</v>
      </c>
      <c r="T2" s="258"/>
      <c r="U2" s="258"/>
      <c r="V2" s="255" t="s">
        <v>680</v>
      </c>
    </row>
    <row r="3" spans="1:22" ht="20.45" customHeight="1" x14ac:dyDescent="0.35">
      <c r="A3" s="634"/>
      <c r="B3" s="275">
        <v>2</v>
      </c>
      <c r="C3" s="589" t="s">
        <v>407</v>
      </c>
      <c r="D3" s="594" t="s">
        <v>404</v>
      </c>
      <c r="E3" s="591" t="s">
        <v>403</v>
      </c>
      <c r="F3" s="277" t="s">
        <v>427</v>
      </c>
      <c r="G3" s="277">
        <v>100</v>
      </c>
      <c r="H3" s="62"/>
      <c r="I3" s="196" t="s">
        <v>409</v>
      </c>
      <c r="J3" s="263">
        <f t="shared" ref="J3:J6" si="1">SUMIF($D$2:$D$21,$I3,$G$2:$G$21)</f>
        <v>380</v>
      </c>
      <c r="K3" s="158">
        <f t="shared" ref="K3:K6" si="2">SUMIFS($G$2:$G$21,$D$2:$D$21,$I3,$F$2:$F$21,K$1)</f>
        <v>100</v>
      </c>
      <c r="L3" s="158">
        <f t="shared" si="0"/>
        <v>50</v>
      </c>
      <c r="M3" s="158">
        <f t="shared" si="0"/>
        <v>230</v>
      </c>
      <c r="N3" s="497">
        <f t="shared" ref="N3:N6" si="3">COUNTIF($D$2:$D$21,I3)</f>
        <v>5</v>
      </c>
      <c r="O3" s="10"/>
      <c r="P3" s="10"/>
      <c r="Q3" s="257" t="s">
        <v>675</v>
      </c>
      <c r="R3" s="258" t="s">
        <v>682</v>
      </c>
      <c r="S3" s="258" t="s">
        <v>682</v>
      </c>
      <c r="T3" s="258" t="s">
        <v>682</v>
      </c>
      <c r="U3" s="258"/>
      <c r="V3" s="255" t="s">
        <v>684</v>
      </c>
    </row>
    <row r="4" spans="1:22" ht="20.45" customHeight="1" x14ac:dyDescent="0.35">
      <c r="A4" s="634"/>
      <c r="B4" s="453">
        <v>3</v>
      </c>
      <c r="C4" s="588" t="s">
        <v>408</v>
      </c>
      <c r="D4" s="595" t="s">
        <v>409</v>
      </c>
      <c r="E4" s="590" t="s">
        <v>402</v>
      </c>
      <c r="F4" s="454" t="s">
        <v>427</v>
      </c>
      <c r="G4" s="454">
        <v>80</v>
      </c>
      <c r="H4" s="62"/>
      <c r="I4" s="195" t="s">
        <v>401</v>
      </c>
      <c r="J4" s="262">
        <f t="shared" si="1"/>
        <v>210</v>
      </c>
      <c r="K4" s="157">
        <f t="shared" si="2"/>
        <v>150</v>
      </c>
      <c r="L4" s="157">
        <f t="shared" si="0"/>
        <v>60</v>
      </c>
      <c r="M4" s="157">
        <f t="shared" si="0"/>
        <v>0</v>
      </c>
      <c r="N4" s="496">
        <f t="shared" si="3"/>
        <v>3</v>
      </c>
      <c r="O4" s="10"/>
      <c r="P4" s="10"/>
      <c r="Q4" s="257" t="s">
        <v>673</v>
      </c>
      <c r="R4" s="258" t="s">
        <v>682</v>
      </c>
      <c r="S4" s="258" t="s">
        <v>682</v>
      </c>
      <c r="T4" s="258" t="s">
        <v>682</v>
      </c>
      <c r="U4" s="258" t="s">
        <v>682</v>
      </c>
      <c r="V4" s="255" t="s">
        <v>674</v>
      </c>
    </row>
    <row r="5" spans="1:22" ht="20.45" customHeight="1" x14ac:dyDescent="0.25">
      <c r="A5" s="634"/>
      <c r="B5" s="275">
        <v>4</v>
      </c>
      <c r="C5" s="589" t="s">
        <v>410</v>
      </c>
      <c r="D5" s="594" t="s">
        <v>401</v>
      </c>
      <c r="E5" s="591" t="s">
        <v>403</v>
      </c>
      <c r="F5" s="277" t="s">
        <v>428</v>
      </c>
      <c r="G5" s="277">
        <v>60</v>
      </c>
      <c r="H5" s="62"/>
      <c r="I5" s="196" t="s">
        <v>430</v>
      </c>
      <c r="J5" s="263">
        <f t="shared" si="1"/>
        <v>150</v>
      </c>
      <c r="K5" s="158">
        <f t="shared" si="2"/>
        <v>80</v>
      </c>
      <c r="L5" s="158">
        <f t="shared" si="0"/>
        <v>70</v>
      </c>
      <c r="M5" s="158">
        <f t="shared" si="0"/>
        <v>0</v>
      </c>
      <c r="N5" s="497">
        <f t="shared" si="3"/>
        <v>2</v>
      </c>
      <c r="O5" s="10"/>
      <c r="P5" s="159" t="s">
        <v>434</v>
      </c>
      <c r="Q5" s="254"/>
      <c r="R5" s="253"/>
      <c r="S5" s="253"/>
      <c r="T5" s="253"/>
    </row>
    <row r="6" spans="1:22" ht="20.45" customHeight="1" x14ac:dyDescent="0.25">
      <c r="A6" s="634"/>
      <c r="B6" s="453">
        <v>5</v>
      </c>
      <c r="C6" s="588" t="s">
        <v>411</v>
      </c>
      <c r="D6" s="595" t="s">
        <v>404</v>
      </c>
      <c r="E6" s="590" t="s">
        <v>403</v>
      </c>
      <c r="F6" s="454" t="s">
        <v>426</v>
      </c>
      <c r="G6" s="454">
        <v>50</v>
      </c>
      <c r="H6" s="61"/>
      <c r="I6" s="195" t="s">
        <v>308</v>
      </c>
      <c r="J6" s="262">
        <f t="shared" si="1"/>
        <v>200</v>
      </c>
      <c r="K6" s="157">
        <f t="shared" si="2"/>
        <v>140</v>
      </c>
      <c r="L6" s="157">
        <f t="shared" si="0"/>
        <v>60</v>
      </c>
      <c r="M6" s="157">
        <f t="shared" si="0"/>
        <v>0</v>
      </c>
      <c r="N6" s="496">
        <f t="shared" si="3"/>
        <v>3</v>
      </c>
      <c r="O6" s="10"/>
      <c r="P6" s="159" t="s">
        <v>435</v>
      </c>
      <c r="Q6" s="253"/>
      <c r="R6" s="253"/>
      <c r="S6" s="253"/>
      <c r="T6" s="253"/>
    </row>
    <row r="7" spans="1:22" ht="20.45" customHeight="1" x14ac:dyDescent="0.25">
      <c r="B7" s="275">
        <v>6</v>
      </c>
      <c r="C7" s="589" t="s">
        <v>412</v>
      </c>
      <c r="D7" s="594" t="s">
        <v>430</v>
      </c>
      <c r="E7" s="591" t="s">
        <v>402</v>
      </c>
      <c r="F7" s="277" t="s">
        <v>428</v>
      </c>
      <c r="G7" s="277">
        <v>70</v>
      </c>
      <c r="H7" s="62"/>
      <c r="I7" s="160" t="s">
        <v>64</v>
      </c>
      <c r="J7" s="161">
        <f>SUM(J2:J6)</f>
        <v>1500</v>
      </c>
      <c r="K7" s="161">
        <f t="shared" ref="K7:N7" si="4">SUM(K2:K6)</f>
        <v>620</v>
      </c>
      <c r="L7" s="161">
        <f t="shared" si="4"/>
        <v>340</v>
      </c>
      <c r="M7" s="161">
        <f t="shared" si="4"/>
        <v>540</v>
      </c>
      <c r="N7" s="497">
        <f t="shared" si="4"/>
        <v>20</v>
      </c>
      <c r="O7" s="10"/>
      <c r="P7" s="159" t="s">
        <v>437</v>
      </c>
      <c r="Q7" s="253"/>
      <c r="R7" s="253"/>
      <c r="S7" s="253"/>
      <c r="T7" s="253"/>
    </row>
    <row r="8" spans="1:22" ht="20.45" customHeight="1" x14ac:dyDescent="0.25">
      <c r="B8" s="453">
        <v>7</v>
      </c>
      <c r="C8" s="588" t="s">
        <v>413</v>
      </c>
      <c r="D8" s="595" t="s">
        <v>404</v>
      </c>
      <c r="E8" s="590" t="s">
        <v>403</v>
      </c>
      <c r="F8" s="454" t="s">
        <v>426</v>
      </c>
      <c r="G8" s="454">
        <v>100</v>
      </c>
      <c r="H8" s="62"/>
      <c r="J8" s="494" t="s">
        <v>786</v>
      </c>
      <c r="K8" s="495">
        <f>COUNTIF($F$2:$F$21,K$1)</f>
        <v>8</v>
      </c>
      <c r="L8" s="495">
        <f t="shared" ref="L8:M8" si="5">COUNTIF($F$2:$F$21,L$1)</f>
        <v>5</v>
      </c>
      <c r="M8" s="495">
        <f t="shared" si="5"/>
        <v>7</v>
      </c>
      <c r="N8" s="495">
        <f>SUM(K8:M8)</f>
        <v>20</v>
      </c>
      <c r="O8" s="10"/>
      <c r="P8" s="159" t="s">
        <v>436</v>
      </c>
      <c r="Q8" s="253"/>
      <c r="R8" s="253"/>
      <c r="S8" s="253"/>
      <c r="T8" s="253"/>
    </row>
    <row r="9" spans="1:22" ht="20.45" customHeight="1" x14ac:dyDescent="0.25">
      <c r="B9" s="275">
        <v>8</v>
      </c>
      <c r="C9" s="589" t="s">
        <v>414</v>
      </c>
      <c r="D9" s="594" t="s">
        <v>409</v>
      </c>
      <c r="E9" s="591" t="s">
        <v>402</v>
      </c>
      <c r="F9" s="277" t="s">
        <v>427</v>
      </c>
      <c r="G9" s="277">
        <v>90</v>
      </c>
      <c r="H9" s="62"/>
      <c r="N9" s="10"/>
      <c r="O9" s="10"/>
      <c r="P9" s="159" t="s">
        <v>439</v>
      </c>
      <c r="Q9" s="253"/>
      <c r="R9" s="253"/>
      <c r="S9" s="253"/>
      <c r="T9" s="253"/>
    </row>
    <row r="10" spans="1:22" ht="20.45" customHeight="1" x14ac:dyDescent="0.25">
      <c r="B10" s="453">
        <v>9</v>
      </c>
      <c r="C10" s="588" t="s">
        <v>415</v>
      </c>
      <c r="D10" s="595" t="s">
        <v>404</v>
      </c>
      <c r="E10" s="590" t="s">
        <v>402</v>
      </c>
      <c r="F10" s="454" t="s">
        <v>427</v>
      </c>
      <c r="G10" s="454">
        <v>50</v>
      </c>
      <c r="H10" s="63"/>
      <c r="I10" s="1119" t="s">
        <v>429</v>
      </c>
      <c r="J10" s="369" t="s">
        <v>400</v>
      </c>
      <c r="K10" s="162" t="s">
        <v>402</v>
      </c>
      <c r="L10" s="10"/>
      <c r="M10" s="369" t="s">
        <v>433</v>
      </c>
      <c r="N10" s="10"/>
      <c r="O10" s="10"/>
      <c r="P10" s="159" t="s">
        <v>438</v>
      </c>
    </row>
    <row r="11" spans="1:22" ht="20.45" customHeight="1" x14ac:dyDescent="0.25">
      <c r="B11" s="275">
        <v>10</v>
      </c>
      <c r="C11" s="589" t="s">
        <v>416</v>
      </c>
      <c r="D11" s="594" t="s">
        <v>409</v>
      </c>
      <c r="E11" s="591" t="s">
        <v>403</v>
      </c>
      <c r="F11" s="277" t="s">
        <v>426</v>
      </c>
      <c r="G11" s="277">
        <v>100</v>
      </c>
      <c r="I11" s="1120"/>
      <c r="J11" s="369" t="s">
        <v>432</v>
      </c>
      <c r="K11" s="162">
        <v>50</v>
      </c>
      <c r="M11" s="162" t="s">
        <v>436</v>
      </c>
    </row>
    <row r="12" spans="1:22" ht="20.45" customHeight="1" x14ac:dyDescent="0.35">
      <c r="B12" s="453">
        <v>11</v>
      </c>
      <c r="C12" s="588" t="s">
        <v>417</v>
      </c>
      <c r="D12" s="595" t="s">
        <v>409</v>
      </c>
      <c r="E12" s="590" t="s">
        <v>403</v>
      </c>
      <c r="F12" s="454" t="s">
        <v>427</v>
      </c>
      <c r="G12" s="454">
        <v>60</v>
      </c>
      <c r="H12" s="62"/>
      <c r="I12" s="256"/>
    </row>
    <row r="13" spans="1:22" ht="20.45" customHeight="1" x14ac:dyDescent="0.35">
      <c r="B13" s="275">
        <v>12</v>
      </c>
      <c r="C13" s="589" t="s">
        <v>418</v>
      </c>
      <c r="D13" s="594" t="s">
        <v>404</v>
      </c>
      <c r="E13" s="591" t="s">
        <v>403</v>
      </c>
      <c r="F13" s="277" t="s">
        <v>427</v>
      </c>
      <c r="G13" s="277">
        <v>70</v>
      </c>
      <c r="H13" s="232">
        <v>1</v>
      </c>
      <c r="I13" s="153" t="s">
        <v>565</v>
      </c>
      <c r="J13" s="151"/>
      <c r="K13" s="194" t="s">
        <v>566</v>
      </c>
      <c r="L13" s="152"/>
      <c r="M13" s="151"/>
      <c r="N13" s="151"/>
      <c r="O13" s="151"/>
      <c r="P13" s="151"/>
    </row>
    <row r="14" spans="1:22" ht="20.45" customHeight="1" x14ac:dyDescent="0.35">
      <c r="B14" s="453">
        <v>13</v>
      </c>
      <c r="C14" s="588" t="s">
        <v>419</v>
      </c>
      <c r="D14" s="595" t="s">
        <v>404</v>
      </c>
      <c r="E14" s="590" t="s">
        <v>402</v>
      </c>
      <c r="F14" s="454" t="s">
        <v>428</v>
      </c>
      <c r="G14" s="454">
        <v>100</v>
      </c>
      <c r="H14" s="232">
        <v>2</v>
      </c>
      <c r="I14" s="154" t="s">
        <v>567</v>
      </c>
      <c r="J14" s="151"/>
      <c r="K14" s="260" t="s">
        <v>677</v>
      </c>
      <c r="L14" s="152"/>
      <c r="M14" s="151"/>
      <c r="N14" s="151"/>
      <c r="O14" s="151"/>
      <c r="P14" s="151"/>
    </row>
    <row r="15" spans="1:22" ht="20.45" customHeight="1" x14ac:dyDescent="0.35">
      <c r="B15" s="275">
        <v>14</v>
      </c>
      <c r="C15" s="589" t="s">
        <v>420</v>
      </c>
      <c r="D15" s="594" t="s">
        <v>430</v>
      </c>
      <c r="E15" s="591" t="s">
        <v>402</v>
      </c>
      <c r="F15" s="277" t="s">
        <v>426</v>
      </c>
      <c r="G15" s="277">
        <v>80</v>
      </c>
      <c r="H15" s="232">
        <v>3</v>
      </c>
      <c r="I15" s="153" t="s">
        <v>568</v>
      </c>
      <c r="J15" s="151"/>
      <c r="K15" s="194" t="s">
        <v>678</v>
      </c>
      <c r="L15" s="152"/>
      <c r="M15" s="151"/>
      <c r="N15" s="151"/>
      <c r="O15" s="151"/>
      <c r="P15" s="151"/>
    </row>
    <row r="16" spans="1:22" ht="20.45" customHeight="1" x14ac:dyDescent="0.35">
      <c r="B16" s="453">
        <v>15</v>
      </c>
      <c r="C16" s="588" t="s">
        <v>421</v>
      </c>
      <c r="D16" s="595" t="s">
        <v>404</v>
      </c>
      <c r="E16" s="590" t="s">
        <v>402</v>
      </c>
      <c r="F16" s="454" t="s">
        <v>427</v>
      </c>
      <c r="G16" s="454">
        <v>90</v>
      </c>
      <c r="H16" s="232">
        <v>4</v>
      </c>
      <c r="I16" s="155" t="s">
        <v>570</v>
      </c>
      <c r="J16" s="151"/>
      <c r="K16" s="261" t="s">
        <v>679</v>
      </c>
      <c r="L16" s="152"/>
      <c r="M16" s="151"/>
      <c r="N16" s="151"/>
      <c r="O16" s="151"/>
      <c r="P16" s="151"/>
    </row>
    <row r="17" spans="2:16" ht="20.45" customHeight="1" x14ac:dyDescent="0.35">
      <c r="B17" s="275">
        <v>16</v>
      </c>
      <c r="C17" s="589" t="s">
        <v>422</v>
      </c>
      <c r="D17" s="594" t="s">
        <v>308</v>
      </c>
      <c r="E17" s="591" t="s">
        <v>403</v>
      </c>
      <c r="F17" s="277" t="s">
        <v>426</v>
      </c>
      <c r="G17" s="277">
        <v>70</v>
      </c>
      <c r="H17" s="232">
        <v>5</v>
      </c>
      <c r="I17" s="153" t="s">
        <v>569</v>
      </c>
      <c r="J17" s="151"/>
      <c r="K17" s="194" t="s">
        <v>676</v>
      </c>
      <c r="L17" s="152"/>
      <c r="M17" s="151"/>
      <c r="N17" s="151"/>
      <c r="O17" s="151"/>
      <c r="P17" s="151"/>
    </row>
    <row r="18" spans="2:16" ht="20.45" customHeight="1" x14ac:dyDescent="0.25">
      <c r="B18" s="453">
        <v>17</v>
      </c>
      <c r="C18" s="588" t="s">
        <v>423</v>
      </c>
      <c r="D18" s="595" t="s">
        <v>409</v>
      </c>
      <c r="E18" s="590" t="s">
        <v>402</v>
      </c>
      <c r="F18" s="454" t="s">
        <v>428</v>
      </c>
      <c r="G18" s="454">
        <v>50</v>
      </c>
    </row>
    <row r="19" spans="2:16" ht="20.45" customHeight="1" x14ac:dyDescent="0.25">
      <c r="B19" s="275">
        <v>18</v>
      </c>
      <c r="C19" s="589" t="s">
        <v>424</v>
      </c>
      <c r="D19" s="594" t="s">
        <v>401</v>
      </c>
      <c r="E19" s="591" t="s">
        <v>402</v>
      </c>
      <c r="F19" s="277" t="s">
        <v>426</v>
      </c>
      <c r="G19" s="277">
        <v>100</v>
      </c>
    </row>
    <row r="20" spans="2:16" ht="20.45" customHeight="1" x14ac:dyDescent="0.25">
      <c r="B20" s="453">
        <v>19</v>
      </c>
      <c r="C20" s="588" t="s">
        <v>425</v>
      </c>
      <c r="D20" s="595" t="s">
        <v>308</v>
      </c>
      <c r="E20" s="590" t="s">
        <v>402</v>
      </c>
      <c r="F20" s="454" t="s">
        <v>426</v>
      </c>
      <c r="G20" s="454">
        <v>70</v>
      </c>
    </row>
    <row r="21" spans="2:16" ht="20.45" customHeight="1" thickBot="1" x14ac:dyDescent="0.3">
      <c r="B21" s="275">
        <v>20</v>
      </c>
      <c r="C21" s="589" t="s">
        <v>318</v>
      </c>
      <c r="D21" s="596" t="s">
        <v>308</v>
      </c>
      <c r="E21" s="591" t="s">
        <v>403</v>
      </c>
      <c r="F21" s="277" t="s">
        <v>428</v>
      </c>
      <c r="G21" s="277">
        <v>60</v>
      </c>
    </row>
    <row r="22" spans="2:16" ht="19.899999999999999" customHeight="1" thickTop="1" x14ac:dyDescent="0.4">
      <c r="C22" s="156"/>
      <c r="D22" s="156"/>
      <c r="F22" s="385" t="s">
        <v>64</v>
      </c>
      <c r="G22" s="385">
        <f>SUM(G2:G21)</f>
        <v>1500</v>
      </c>
      <c r="H22" s="385">
        <f>AVERAGE(G2:G21)</f>
        <v>75</v>
      </c>
    </row>
    <row r="23" spans="2:16" ht="19.899999999999999" customHeight="1" x14ac:dyDescent="0.25"/>
    <row r="24" spans="2:16" ht="19.899999999999999" customHeight="1" x14ac:dyDescent="0.25"/>
  </sheetData>
  <mergeCells count="2">
    <mergeCell ref="I10:I11"/>
    <mergeCell ref="A1:A6"/>
  </mergeCells>
  <conditionalFormatting sqref="E2:E21">
    <cfRule type="expression" dxfId="0" priority="24">
      <formula>$K$10=$E2</formula>
    </cfRule>
  </conditionalFormatting>
  <dataValidations count="3">
    <dataValidation type="list" allowBlank="1" showInputMessage="1" showErrorMessage="1" sqref="K10" xr:uid="{00000000-0002-0000-1700-000000000000}">
      <formula1>"Kadın,Erkek"</formula1>
    </dataValidation>
    <dataValidation type="whole" allowBlank="1" showInputMessage="1" showErrorMessage="1" sqref="K11" xr:uid="{00000000-0002-0000-1700-000001000000}">
      <formula1>50</formula1>
      <formula2>100</formula2>
    </dataValidation>
    <dataValidation type="list" allowBlank="1" showInputMessage="1" showErrorMessage="1" sqref="M11" xr:uid="{00000000-0002-0000-1700-000002000000}">
      <formula1>$P$5:$P$10</formula1>
    </dataValidation>
  </dataValidations>
  <hyperlinks>
    <hyperlink ref="A1:A3" location="'__ANA SAYFA'!A1" display="ANA SAYFA" xr:uid="{00000000-0004-0000-1700-000000000000}"/>
  </hyperlinks>
  <pageMargins left="0.7" right="0.7" top="0.75" bottom="0.75" header="0.3" footer="0.3"/>
  <pageSetup paperSize="9" orientation="portrait" verticalDpi="300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X20"/>
  <sheetViews>
    <sheetView zoomScale="85" zoomScaleNormal="85" workbookViewId="0">
      <selection sqref="A1:A6"/>
    </sheetView>
  </sheetViews>
  <sheetFormatPr defaultColWidth="8.85546875" defaultRowHeight="22.15" customHeight="1" x14ac:dyDescent="0.3"/>
  <cols>
    <col min="1" max="1" width="6.28515625" style="2" customWidth="1"/>
    <col min="2" max="3" width="12.7109375" style="103" customWidth="1"/>
    <col min="4" max="4" width="7.140625" style="103" customWidth="1"/>
    <col min="5" max="5" width="1.7109375" style="103" customWidth="1"/>
    <col min="6" max="9" width="6.85546875" style="103" customWidth="1"/>
    <col min="10" max="17" width="9.42578125" style="103" customWidth="1"/>
    <col min="18" max="18" width="12.5703125" style="103" customWidth="1"/>
    <col min="19" max="19" width="8.85546875" style="103"/>
    <col min="20" max="20" width="4.85546875" style="103" customWidth="1"/>
    <col min="21" max="25" width="8.85546875" style="103"/>
    <col min="26" max="26" width="15.5703125" style="103" bestFit="1" customWidth="1"/>
    <col min="27" max="16384" width="8.85546875" style="103"/>
  </cols>
  <sheetData>
    <row r="1" spans="1:24" s="102" customFormat="1" ht="22.15" customHeight="1" x14ac:dyDescent="0.3">
      <c r="A1" s="743" t="s">
        <v>96</v>
      </c>
      <c r="B1" s="1122" t="s">
        <v>525</v>
      </c>
      <c r="C1" s="1122"/>
      <c r="D1" s="1122"/>
      <c r="F1" s="1124" t="s">
        <v>779</v>
      </c>
      <c r="G1" s="1124"/>
      <c r="H1" s="1124"/>
      <c r="I1" s="1124"/>
      <c r="J1" s="1124"/>
      <c r="K1" s="1124"/>
      <c r="L1" s="1124"/>
      <c r="M1" s="1124"/>
      <c r="N1" s="1124"/>
      <c r="O1" s="1124"/>
      <c r="P1" s="1124"/>
      <c r="Q1" s="1124"/>
      <c r="R1" s="1124"/>
      <c r="S1" s="1124"/>
      <c r="U1" s="103"/>
      <c r="V1" s="103"/>
      <c r="W1" s="103"/>
      <c r="X1" s="103"/>
    </row>
    <row r="2" spans="1:24" ht="22.15" customHeight="1" x14ac:dyDescent="0.3">
      <c r="A2" s="743"/>
      <c r="B2" s="1123"/>
      <c r="C2" s="1123"/>
      <c r="D2" s="1123"/>
      <c r="E2" s="102"/>
      <c r="F2" s="1124"/>
      <c r="G2" s="1124"/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</row>
    <row r="3" spans="1:24" ht="22.15" customHeight="1" x14ac:dyDescent="0.3">
      <c r="A3" s="743"/>
      <c r="B3" s="1123"/>
      <c r="C3" s="1123"/>
      <c r="D3" s="1123"/>
      <c r="E3" s="102"/>
    </row>
    <row r="4" spans="1:24" ht="22.15" customHeight="1" x14ac:dyDescent="0.3">
      <c r="A4" s="743"/>
      <c r="B4" s="1123"/>
      <c r="C4" s="1123"/>
      <c r="D4" s="1123"/>
      <c r="E4" s="102"/>
      <c r="F4" s="104" t="s">
        <v>780</v>
      </c>
    </row>
    <row r="5" spans="1:24" s="102" customFormat="1" ht="22.15" customHeight="1" x14ac:dyDescent="0.3">
      <c r="A5" s="743"/>
      <c r="B5" s="1125" t="s">
        <v>526</v>
      </c>
      <c r="C5" s="1125"/>
      <c r="D5" s="1125"/>
      <c r="F5" s="464" t="s">
        <v>796</v>
      </c>
      <c r="T5" s="103"/>
      <c r="U5" s="103"/>
      <c r="V5" s="103"/>
      <c r="W5" s="103"/>
      <c r="X5" s="103"/>
    </row>
    <row r="6" spans="1:24" s="102" customFormat="1" ht="22.15" customHeight="1" x14ac:dyDescent="0.3">
      <c r="A6" s="743"/>
      <c r="B6" s="1125"/>
      <c r="C6" s="1125"/>
      <c r="D6" s="1125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U6" s="103"/>
      <c r="V6" s="103"/>
      <c r="W6" s="103"/>
      <c r="X6" s="103"/>
    </row>
    <row r="7" spans="1:24" s="102" customFormat="1" ht="22.15" customHeight="1" x14ac:dyDescent="0.3">
      <c r="A7" s="2"/>
      <c r="B7" s="1125"/>
      <c r="C7" s="1125"/>
      <c r="D7" s="1125"/>
      <c r="F7" s="475" t="s">
        <v>527</v>
      </c>
      <c r="G7" s="466"/>
      <c r="H7" s="466"/>
      <c r="I7" s="466"/>
      <c r="J7" s="466"/>
      <c r="K7" s="466"/>
      <c r="L7" s="476"/>
      <c r="M7" s="466"/>
      <c r="N7" s="466"/>
      <c r="O7" s="466"/>
      <c r="P7" s="466"/>
      <c r="Q7" s="467"/>
      <c r="R7" s="467" t="s">
        <v>554</v>
      </c>
      <c r="S7" s="468"/>
      <c r="U7" s="103"/>
      <c r="V7" s="103"/>
      <c r="W7" s="103"/>
      <c r="X7" s="103"/>
    </row>
    <row r="8" spans="1:24" ht="22.15" customHeight="1" x14ac:dyDescent="0.3">
      <c r="B8" s="1125"/>
      <c r="C8" s="1125"/>
      <c r="D8" s="1125"/>
      <c r="E8" s="102"/>
      <c r="F8" s="477" t="s">
        <v>528</v>
      </c>
      <c r="G8" s="105"/>
      <c r="H8" s="105"/>
      <c r="I8" s="105"/>
      <c r="J8" s="105"/>
      <c r="K8" s="105"/>
      <c r="L8" s="285"/>
      <c r="M8" s="105"/>
      <c r="N8" s="110"/>
      <c r="O8" s="110"/>
      <c r="P8" s="105"/>
      <c r="Q8" s="287"/>
      <c r="R8" s="287" t="s">
        <v>556</v>
      </c>
      <c r="S8" s="470"/>
      <c r="T8" s="102"/>
    </row>
    <row r="9" spans="1:24" ht="22.15" customHeight="1" x14ac:dyDescent="0.3">
      <c r="B9" s="1126" t="s">
        <v>797</v>
      </c>
      <c r="C9" s="1126"/>
      <c r="D9" s="1126"/>
      <c r="E9" s="102"/>
      <c r="F9" s="477" t="s">
        <v>696</v>
      </c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286"/>
      <c r="R9" s="286"/>
      <c r="S9" s="478"/>
    </row>
    <row r="10" spans="1:24" ht="22.15" customHeight="1" x14ac:dyDescent="0.3">
      <c r="B10" s="1126"/>
      <c r="C10" s="1126"/>
      <c r="D10" s="1126"/>
      <c r="E10" s="102"/>
      <c r="F10" s="477" t="s">
        <v>551</v>
      </c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286"/>
      <c r="R10" s="286"/>
      <c r="S10" s="478"/>
    </row>
    <row r="11" spans="1:24" ht="22.15" customHeight="1" x14ac:dyDescent="0.3">
      <c r="B11" s="1126"/>
      <c r="C11" s="1126"/>
      <c r="D11" s="1126"/>
      <c r="E11" s="102"/>
      <c r="F11" s="479" t="s">
        <v>529</v>
      </c>
      <c r="G11" s="472"/>
      <c r="H11" s="472"/>
      <c r="I11" s="472"/>
      <c r="J11" s="472"/>
      <c r="K11" s="472"/>
      <c r="L11" s="480"/>
      <c r="M11" s="472"/>
      <c r="N11" s="472"/>
      <c r="O11" s="472"/>
      <c r="P11" s="472"/>
      <c r="Q11" s="473"/>
      <c r="R11" s="473" t="s">
        <v>555</v>
      </c>
      <c r="S11" s="474"/>
    </row>
    <row r="12" spans="1:24" ht="22.15" customHeight="1" x14ac:dyDescent="0.3">
      <c r="B12" s="1126"/>
      <c r="C12" s="1126"/>
      <c r="D12" s="1126"/>
      <c r="E12" s="102"/>
    </row>
    <row r="13" spans="1:24" ht="22.15" customHeight="1" x14ac:dyDescent="0.3">
      <c r="B13" s="1126"/>
      <c r="C13" s="1126"/>
      <c r="D13" s="1126"/>
      <c r="E13" s="102"/>
    </row>
    <row r="14" spans="1:24" ht="22.15" customHeight="1" x14ac:dyDescent="0.3">
      <c r="B14" s="1126"/>
      <c r="C14" s="1126"/>
      <c r="D14" s="1126"/>
      <c r="E14" s="102"/>
    </row>
    <row r="15" spans="1:24" ht="22.15" customHeight="1" x14ac:dyDescent="0.3">
      <c r="B15" s="1126"/>
      <c r="C15" s="1126"/>
      <c r="D15" s="1126"/>
      <c r="E15" s="102"/>
      <c r="F15" s="104" t="s">
        <v>531</v>
      </c>
    </row>
    <row r="16" spans="1:24" ht="22.15" customHeight="1" x14ac:dyDescent="0.3">
      <c r="B16" s="1126"/>
      <c r="C16" s="1126"/>
      <c r="D16" s="1126"/>
      <c r="F16" s="464" t="s">
        <v>795</v>
      </c>
    </row>
    <row r="17" spans="2:19" ht="22.15" customHeight="1" x14ac:dyDescent="0.3">
      <c r="B17" s="1121" t="s">
        <v>798</v>
      </c>
      <c r="C17" s="1121"/>
      <c r="D17" s="1121"/>
      <c r="F17" s="106"/>
    </row>
    <row r="18" spans="2:19" ht="22.15" customHeight="1" x14ac:dyDescent="0.3">
      <c r="B18" s="1121"/>
      <c r="C18" s="1121"/>
      <c r="D18" s="1121"/>
      <c r="F18" s="465" t="s">
        <v>530</v>
      </c>
      <c r="G18" s="466"/>
      <c r="H18" s="466"/>
      <c r="I18" s="466"/>
      <c r="J18" s="466"/>
      <c r="K18" s="466"/>
      <c r="L18" s="466"/>
      <c r="M18" s="466"/>
      <c r="N18" s="466"/>
      <c r="O18" s="466"/>
      <c r="P18" s="466"/>
      <c r="Q18" s="467"/>
      <c r="R18" s="467" t="s">
        <v>554</v>
      </c>
      <c r="S18" s="468"/>
    </row>
    <row r="19" spans="2:19" ht="22.15" customHeight="1" x14ac:dyDescent="0.3">
      <c r="B19" s="1121"/>
      <c r="C19" s="1121"/>
      <c r="D19" s="1121"/>
      <c r="F19" s="469" t="s">
        <v>532</v>
      </c>
      <c r="G19" s="105"/>
      <c r="H19" s="105"/>
      <c r="I19" s="105"/>
      <c r="J19" s="105"/>
      <c r="K19" s="105"/>
      <c r="L19" s="105"/>
      <c r="M19" s="105"/>
      <c r="N19" s="105"/>
      <c r="O19" s="288"/>
      <c r="P19" s="288"/>
      <c r="Q19" s="288"/>
      <c r="R19" s="287" t="s">
        <v>697</v>
      </c>
      <c r="S19" s="470"/>
    </row>
    <row r="20" spans="2:19" ht="22.15" customHeight="1" x14ac:dyDescent="0.3">
      <c r="B20" s="1121"/>
      <c r="C20" s="1121"/>
      <c r="D20" s="1121"/>
      <c r="F20" s="471" t="s">
        <v>529</v>
      </c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73"/>
      <c r="R20" s="473" t="s">
        <v>555</v>
      </c>
      <c r="S20" s="474"/>
    </row>
  </sheetData>
  <mergeCells count="6">
    <mergeCell ref="B17:D20"/>
    <mergeCell ref="A1:A6"/>
    <mergeCell ref="B1:D4"/>
    <mergeCell ref="F1:S2"/>
    <mergeCell ref="B5:D8"/>
    <mergeCell ref="B9:D16"/>
  </mergeCells>
  <hyperlinks>
    <hyperlink ref="A1:A2" location="'__ANA SAYFA'!A1" display="ANA SAYFA" xr:uid="{00000000-0004-0000-1800-000000000000}"/>
  </hyperlinks>
  <pageMargins left="0.7" right="0.7" top="0.75" bottom="0.75" header="0.3" footer="0.3"/>
  <pageSetup paperSize="9" orientation="portrait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</vt:i4>
      </vt:variant>
    </vt:vector>
  </HeadingPairs>
  <TitlesOfParts>
    <vt:vector size="26" baseType="lpstr">
      <vt:lpstr>__ANA SAYFA</vt:lpstr>
      <vt:lpstr>SEMBOLLER</vt:lpstr>
      <vt:lpstr>TARIH</vt:lpstr>
      <vt:lpstr>HARF</vt:lpstr>
      <vt:lpstr>YAZICI</vt:lpstr>
      <vt:lpstr>DUSEYARA_YATAYARA</vt:lpstr>
      <vt:lpstr>SAYI</vt:lpstr>
      <vt:lpstr>KISA_YOLLAR</vt:lpstr>
      <vt:lpstr>EGERSAY</vt:lpstr>
      <vt:lpstr>KOSULLU_BICIMLENDIRME</vt:lpstr>
      <vt:lpstr>EGER</vt:lpstr>
      <vt:lpstr>FILTRELEME</vt:lpstr>
      <vt:lpstr>SIRALAMA</vt:lpstr>
      <vt:lpstr>HIZLI_ERISIM</vt:lpstr>
      <vt:lpstr>GRAFIK_1</vt:lpstr>
      <vt:lpstr>GRAFIK_2</vt:lpstr>
      <vt:lpstr>GRAFIK_3</vt:lpstr>
      <vt:lpstr>YINELENENLERI_KALDIR</vt:lpstr>
      <vt:lpstr>SAYIYA_CEVIR</vt:lpstr>
      <vt:lpstr>OZET_TABLO</vt:lpstr>
      <vt:lpstr>BUL_DEGISTIR</vt:lpstr>
      <vt:lpstr>ISGUNU</vt:lpstr>
      <vt:lpstr>VERI_DOGRULAMA</vt:lpstr>
      <vt:lpstr>ETOPLA</vt:lpstr>
      <vt:lpstr>MAKRO_1</vt:lpstr>
      <vt:lpstr>MUZ</vt:lpstr>
    </vt:vector>
  </TitlesOfParts>
  <Company>Silentall Unattended Installer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Armagan Akbay</dc:creator>
  <cp:lastModifiedBy>Ingenieur</cp:lastModifiedBy>
  <cp:lastPrinted>2021-04-13T21:55:47Z</cp:lastPrinted>
  <dcterms:created xsi:type="dcterms:W3CDTF">2021-03-24T09:41:52Z</dcterms:created>
  <dcterms:modified xsi:type="dcterms:W3CDTF">2021-05-29T21:09:55Z</dcterms:modified>
</cp:coreProperties>
</file>